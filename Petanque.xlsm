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tables/table2.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persons/person7.xml" ContentType="application/vnd.ms-excel.person+xml"/>
  <Override PartName="/xl/persons/person1.xml" ContentType="application/vnd.ms-excel.person+xml"/>
  <Override PartName="/xl/persons/person0.xml" ContentType="application/vnd.ms-excel.person+xml"/>
  <Override PartName="/xl/persons/person5.xml" ContentType="application/vnd.ms-excel.person+xml"/>
  <Override PartName="/xl/persons/person4.xml" ContentType="application/vnd.ms-excel.person+xml"/>
  <Override PartName="/xl/persons/person3.xml" ContentType="application/vnd.ms-excel.person+xml"/>
  <Override PartName="/xl/persons/person2.xml" ContentType="application/vnd.ms-excel.person+xml"/>
  <Override PartName="/xl/persons/person6.xml" ContentType="application/vnd.ms-excel.person+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626" codeName="{62F9E958-00F4-224C-1CEB-3A4BEE276A53}"/>
  <workbookPr codeName="ThisWorkbook" defaultThemeVersion="166925"/>
  <mc:AlternateContent xmlns:mc="http://schemas.openxmlformats.org/markup-compatibility/2006">
    <mc:Choice Requires="x15">
      <x15ac:absPath xmlns:x15ac="http://schemas.microsoft.com/office/spreadsheetml/2010/11/ac" url="https://d.docs.live.net/07605a2640b892c5/Documents/GitHub/petanque/"/>
    </mc:Choice>
  </mc:AlternateContent>
  <xr:revisionPtr revIDLastSave="1814" documentId="8_{C28F678D-3A4E-4C8C-BEA4-EEE95EC1C292}" xr6:coauthVersionLast="47" xr6:coauthVersionMax="47" xr10:uidLastSave="{22FFDFC2-84EF-488C-934B-7A838A4E6BD2}"/>
  <bookViews>
    <workbookView xWindow="-110" yWindow="-110" windowWidth="19420" windowHeight="11020" xr2:uid="{A331800E-EC52-4882-80A0-799E52E6B2F9}"/>
  </bookViews>
  <sheets>
    <sheet name="Aide" sheetId="6" r:id="rId1"/>
    <sheet name="Equipes" sheetId="2" r:id="rId2"/>
    <sheet name="Rencontres" sheetId="3" r:id="rId3"/>
    <sheet name="Tableau de bord" sheetId="5" r:id="rId4"/>
  </sheets>
  <functionGroups builtInGroupCount="19"/>
  <definedNames>
    <definedName name="nbEquipe">Equipes!#REF!</definedName>
    <definedName name="nbEquipes">Equipes!#REF!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2" i="5" l="1"/>
  <c r="I3" i="5"/>
  <c r="I4"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E2" i="5"/>
  <c r="K33" i="5"/>
  <c r="J33" i="5"/>
  <c r="H33" i="5"/>
  <c r="G33" i="5"/>
  <c r="F33" i="5"/>
  <c r="E33" i="5"/>
  <c r="D33" i="5"/>
  <c r="K32" i="5"/>
  <c r="J32" i="5"/>
  <c r="H32" i="5"/>
  <c r="G32" i="5"/>
  <c r="F32" i="5"/>
  <c r="E32" i="5"/>
  <c r="D32" i="5"/>
  <c r="K31" i="5"/>
  <c r="J31" i="5"/>
  <c r="H31" i="5"/>
  <c r="G31" i="5"/>
  <c r="F31" i="5"/>
  <c r="E31" i="5"/>
  <c r="D31" i="5"/>
  <c r="K30" i="5"/>
  <c r="J30" i="5"/>
  <c r="H30" i="5"/>
  <c r="G30" i="5"/>
  <c r="F30" i="5"/>
  <c r="E30" i="5"/>
  <c r="D30" i="5"/>
  <c r="K29" i="5"/>
  <c r="J29" i="5"/>
  <c r="H29" i="5"/>
  <c r="G29" i="5"/>
  <c r="F29" i="5"/>
  <c r="E29" i="5"/>
  <c r="D29" i="5"/>
  <c r="K28" i="5"/>
  <c r="J28" i="5"/>
  <c r="H28" i="5"/>
  <c r="G28" i="5"/>
  <c r="F28" i="5"/>
  <c r="E28" i="5"/>
  <c r="D28" i="5"/>
  <c r="K27" i="5"/>
  <c r="J27" i="5"/>
  <c r="H27" i="5"/>
  <c r="G27" i="5"/>
  <c r="F27" i="5"/>
  <c r="E27" i="5"/>
  <c r="D27" i="5"/>
  <c r="K26" i="5"/>
  <c r="J26" i="5"/>
  <c r="H26" i="5"/>
  <c r="G26" i="5"/>
  <c r="F26" i="5"/>
  <c r="E26" i="5"/>
  <c r="D26" i="5"/>
  <c r="K25" i="5"/>
  <c r="J25" i="5"/>
  <c r="H25" i="5"/>
  <c r="G25" i="5"/>
  <c r="F25" i="5"/>
  <c r="E25" i="5"/>
  <c r="D25" i="5"/>
  <c r="K24" i="5"/>
  <c r="J24" i="5"/>
  <c r="H24" i="5"/>
  <c r="G24" i="5"/>
  <c r="F24" i="5"/>
  <c r="E24" i="5"/>
  <c r="D24" i="5"/>
  <c r="K23" i="5"/>
  <c r="J23" i="5"/>
  <c r="H23" i="5"/>
  <c r="G23" i="5"/>
  <c r="F23" i="5"/>
  <c r="E23" i="5"/>
  <c r="D23" i="5"/>
  <c r="K22" i="5"/>
  <c r="J22" i="5"/>
  <c r="H22" i="5"/>
  <c r="G22" i="5"/>
  <c r="F22" i="5"/>
  <c r="E22" i="5"/>
  <c r="D22" i="5"/>
  <c r="K21" i="5"/>
  <c r="J21" i="5"/>
  <c r="H21" i="5"/>
  <c r="G21" i="5"/>
  <c r="F21" i="5"/>
  <c r="E21" i="5"/>
  <c r="D21" i="5"/>
  <c r="K20" i="5"/>
  <c r="J20" i="5"/>
  <c r="H20" i="5"/>
  <c r="G20" i="5"/>
  <c r="F20" i="5"/>
  <c r="E20" i="5"/>
  <c r="D20" i="5"/>
  <c r="K19" i="5"/>
  <c r="J19" i="5"/>
  <c r="H19" i="5"/>
  <c r="G19" i="5"/>
  <c r="F19" i="5"/>
  <c r="E19" i="5"/>
  <c r="D19" i="5"/>
  <c r="K18" i="5"/>
  <c r="J18" i="5"/>
  <c r="H18" i="5"/>
  <c r="G18" i="5"/>
  <c r="F18" i="5"/>
  <c r="E18" i="5"/>
  <c r="D18" i="5"/>
  <c r="K17" i="5"/>
  <c r="J17" i="5"/>
  <c r="H17" i="5"/>
  <c r="G17" i="5"/>
  <c r="F17" i="5"/>
  <c r="E17" i="5"/>
  <c r="D17" i="5"/>
  <c r="K16" i="5"/>
  <c r="J16" i="5"/>
  <c r="H16" i="5"/>
  <c r="G16" i="5"/>
  <c r="F16" i="5"/>
  <c r="E16" i="5"/>
  <c r="D16" i="5"/>
  <c r="K15" i="5"/>
  <c r="J15" i="5"/>
  <c r="H15" i="5"/>
  <c r="G15" i="5"/>
  <c r="F15" i="5"/>
  <c r="E15" i="5"/>
  <c r="D15" i="5"/>
  <c r="K14" i="5"/>
  <c r="J14" i="5"/>
  <c r="H14" i="5"/>
  <c r="G14" i="5"/>
  <c r="F14" i="5"/>
  <c r="E14" i="5"/>
  <c r="D14" i="5"/>
  <c r="K13" i="5"/>
  <c r="J13" i="5"/>
  <c r="H13" i="5"/>
  <c r="G13" i="5"/>
  <c r="F13" i="5"/>
  <c r="E13" i="5"/>
  <c r="D13" i="5"/>
  <c r="K12" i="5"/>
  <c r="J12" i="5"/>
  <c r="H12" i="5"/>
  <c r="G12" i="5"/>
  <c r="F12" i="5"/>
  <c r="E12" i="5"/>
  <c r="D12" i="5"/>
  <c r="K11" i="5"/>
  <c r="J11" i="5"/>
  <c r="H11" i="5"/>
  <c r="G11" i="5"/>
  <c r="F11" i="5"/>
  <c r="E11" i="5"/>
  <c r="D11" i="5"/>
  <c r="K10" i="5"/>
  <c r="J10" i="5"/>
  <c r="H10" i="5"/>
  <c r="G10" i="5"/>
  <c r="F10" i="5"/>
  <c r="E10" i="5"/>
  <c r="D10" i="5"/>
  <c r="K9" i="5"/>
  <c r="J9" i="5"/>
  <c r="H9" i="5"/>
  <c r="G9" i="5"/>
  <c r="F9" i="5"/>
  <c r="E9" i="5"/>
  <c r="D9" i="5"/>
  <c r="K8" i="5"/>
  <c r="J8" i="5"/>
  <c r="H8" i="5"/>
  <c r="G8" i="5"/>
  <c r="F8" i="5"/>
  <c r="E8" i="5"/>
  <c r="D8" i="5"/>
  <c r="K7" i="5"/>
  <c r="J7" i="5"/>
  <c r="H7" i="5"/>
  <c r="G7" i="5"/>
  <c r="F7" i="5"/>
  <c r="E7" i="5"/>
  <c r="D7" i="5"/>
  <c r="K6" i="5"/>
  <c r="J6" i="5"/>
  <c r="H6" i="5"/>
  <c r="G6" i="5"/>
  <c r="F6" i="5"/>
  <c r="E6" i="5"/>
  <c r="D6" i="5"/>
  <c r="K5" i="5"/>
  <c r="J5" i="5"/>
  <c r="H5" i="5"/>
  <c r="G5" i="5"/>
  <c r="F5" i="5"/>
  <c r="E5" i="5"/>
  <c r="D5" i="5"/>
  <c r="K4" i="5"/>
  <c r="J4" i="5"/>
  <c r="H4" i="5"/>
  <c r="G4" i="5"/>
  <c r="F4" i="5"/>
  <c r="E4" i="5"/>
  <c r="D4" i="5"/>
  <c r="K3" i="5"/>
  <c r="J3" i="5"/>
  <c r="H3" i="5"/>
  <c r="G3" i="5"/>
  <c r="F3" i="5"/>
  <c r="E3" i="5"/>
  <c r="D3" i="5"/>
  <c r="J2" i="5"/>
  <c r="H2" i="5"/>
  <c r="G2" i="5"/>
  <c r="F2" i="5"/>
  <c r="D2" i="5"/>
  <c r="K2" i="5"/>
  <c r="C33" i="5"/>
  <c r="C32" i="5"/>
  <c r="C31" i="5"/>
  <c r="C30" i="5"/>
  <c r="C29" i="5"/>
  <c r="C28" i="5"/>
  <c r="C27" i="5"/>
  <c r="C26" i="5"/>
  <c r="C25" i="5"/>
  <c r="C24" i="5"/>
  <c r="C23" i="5"/>
  <c r="C22" i="5"/>
  <c r="C21" i="5"/>
  <c r="C20" i="5"/>
  <c r="C19" i="5"/>
  <c r="C18" i="5"/>
  <c r="C17" i="5"/>
  <c r="C16" i="5"/>
  <c r="C15" i="5"/>
  <c r="C14" i="5"/>
  <c r="C13" i="5"/>
  <c r="C12" i="5"/>
  <c r="C11" i="5"/>
  <c r="C10" i="5"/>
  <c r="C9" i="5"/>
  <c r="C8" i="5"/>
  <c r="C7" i="5"/>
  <c r="C6" i="5"/>
  <c r="C5" i="5"/>
  <c r="C4" i="5"/>
  <c r="C3" i="5"/>
  <c r="C2" i="5"/>
  <c r="O9" i="5" l="1"/>
  <c r="O10" i="5"/>
  <c r="M10" i="5" s="1"/>
  <c r="O13" i="5"/>
  <c r="O14" i="5"/>
  <c r="A14" i="5" s="1"/>
  <c r="O15" i="5"/>
  <c r="A15" i="5" s="1"/>
  <c r="O16" i="5"/>
  <c r="A16" i="5" s="1"/>
  <c r="O19" i="5"/>
  <c r="O20" i="5"/>
  <c r="O21" i="5"/>
  <c r="O22" i="5"/>
  <c r="O24" i="5"/>
  <c r="M24" i="5" s="1"/>
  <c r="O26" i="5"/>
  <c r="O27" i="5"/>
  <c r="O28" i="5"/>
  <c r="O29" i="5"/>
  <c r="O30" i="5"/>
  <c r="O31" i="5"/>
  <c r="O32" i="5"/>
  <c r="O3" i="5"/>
  <c r="M3" i="5" s="1"/>
  <c r="O8" i="5"/>
  <c r="O12" i="5"/>
  <c r="O5" i="5"/>
  <c r="O11" i="5"/>
  <c r="O4" i="5"/>
  <c r="O7" i="5"/>
  <c r="O6" i="5"/>
  <c r="O25" i="5"/>
  <c r="O33" i="5"/>
  <c r="L33" i="5" s="1"/>
  <c r="O17" i="5"/>
  <c r="A17" i="5" s="1"/>
  <c r="P9" i="5"/>
  <c r="Q9" i="5" s="1"/>
  <c r="P18" i="5"/>
  <c r="Q18" i="5" s="1"/>
  <c r="P23" i="5"/>
  <c r="Q23" i="5" s="1"/>
  <c r="P24" i="5"/>
  <c r="Q24" i="5" s="1"/>
  <c r="P25" i="5"/>
  <c r="Q25" i="5" s="1"/>
  <c r="O23" i="5"/>
  <c r="P8" i="5"/>
  <c r="Q8" i="5" s="1"/>
  <c r="P17" i="5"/>
  <c r="Q17" i="5" s="1"/>
  <c r="P7" i="5"/>
  <c r="Q7" i="5" s="1"/>
  <c r="P14" i="5"/>
  <c r="Q14" i="5" s="1"/>
  <c r="P22" i="5"/>
  <c r="Q22" i="5" s="1"/>
  <c r="P15" i="5"/>
  <c r="Q15" i="5" s="1"/>
  <c r="P6" i="5"/>
  <c r="Q6" i="5" s="1"/>
  <c r="P16" i="5"/>
  <c r="Q16" i="5" s="1"/>
  <c r="O18" i="5"/>
  <c r="P30" i="5"/>
  <c r="Q30" i="5" s="1"/>
  <c r="P31" i="5"/>
  <c r="Q31" i="5" s="1"/>
  <c r="P32" i="5"/>
  <c r="Q32" i="5" s="1"/>
  <c r="P33" i="5"/>
  <c r="Q33" i="5" s="1"/>
  <c r="P10" i="5"/>
  <c r="Q10" i="5" s="1"/>
  <c r="P26" i="5"/>
  <c r="Q26" i="5" s="1"/>
  <c r="P3" i="5"/>
  <c r="Q3" i="5" s="1"/>
  <c r="P11" i="5"/>
  <c r="Q11" i="5" s="1"/>
  <c r="P19" i="5"/>
  <c r="Q19" i="5" s="1"/>
  <c r="P27" i="5"/>
  <c r="Q27" i="5" s="1"/>
  <c r="P4" i="5"/>
  <c r="Q4" i="5" s="1"/>
  <c r="P12" i="5"/>
  <c r="Q12" i="5" s="1"/>
  <c r="P20" i="5"/>
  <c r="Q20" i="5" s="1"/>
  <c r="P28" i="5"/>
  <c r="Q28" i="5" s="1"/>
  <c r="P5" i="5"/>
  <c r="Q5" i="5" s="1"/>
  <c r="P13" i="5"/>
  <c r="Q13" i="5" s="1"/>
  <c r="P21" i="5"/>
  <c r="Q21" i="5" s="1"/>
  <c r="P29" i="5"/>
  <c r="Q29" i="5" s="1"/>
  <c r="L26" i="5" l="1"/>
  <c r="N26" i="5" s="1"/>
  <c r="L10" i="5"/>
  <c r="N10" i="5" s="1"/>
  <c r="M31" i="5"/>
  <c r="L21" i="5"/>
  <c r="M9" i="5"/>
  <c r="L31" i="5"/>
  <c r="M12" i="5"/>
  <c r="L20" i="5"/>
  <c r="M4" i="5"/>
  <c r="L30" i="5"/>
  <c r="L3" i="5"/>
  <c r="N3" i="5" s="1"/>
  <c r="M25" i="5"/>
  <c r="M26" i="5"/>
  <c r="M20" i="5"/>
  <c r="L19" i="5"/>
  <c r="M19" i="5"/>
  <c r="M5" i="5"/>
  <c r="M32" i="5"/>
  <c r="L16" i="5"/>
  <c r="L28" i="5"/>
  <c r="M28" i="5"/>
  <c r="L5" i="5"/>
  <c r="M33" i="5"/>
  <c r="N33" i="5" s="1"/>
  <c r="M6" i="5"/>
  <c r="L4" i="5"/>
  <c r="O2" i="5"/>
  <c r="M18" i="5"/>
  <c r="L18" i="5"/>
  <c r="L25" i="5"/>
  <c r="L9" i="5"/>
  <c r="N20" i="5"/>
  <c r="L32" i="5"/>
  <c r="M21" i="5"/>
  <c r="L13" i="5"/>
  <c r="M13" i="5"/>
  <c r="L24" i="5"/>
  <c r="N24" i="5" s="1"/>
  <c r="L27" i="5"/>
  <c r="L11" i="5"/>
  <c r="M11" i="5"/>
  <c r="M17" i="5"/>
  <c r="M29" i="5"/>
  <c r="M27" i="5"/>
  <c r="L29" i="5"/>
  <c r="L17" i="5"/>
  <c r="L12" i="5"/>
  <c r="L6" i="5"/>
  <c r="M7" i="5"/>
  <c r="L7" i="5"/>
  <c r="M14" i="5"/>
  <c r="L14" i="5"/>
  <c r="L15" i="5"/>
  <c r="M15" i="5"/>
  <c r="M16" i="5"/>
  <c r="N16" i="5" s="1"/>
  <c r="M22" i="5"/>
  <c r="L22" i="5"/>
  <c r="M23" i="5"/>
  <c r="L23" i="5"/>
  <c r="P2" i="5"/>
  <c r="Q2" i="5" s="1"/>
  <c r="M8" i="5"/>
  <c r="L8" i="5"/>
  <c r="M30" i="5"/>
  <c r="N30" i="5" s="1"/>
  <c r="N12" i="5" l="1"/>
  <c r="N9" i="5"/>
  <c r="N32" i="5"/>
  <c r="N25" i="5"/>
  <c r="N21" i="5"/>
  <c r="N4" i="5"/>
  <c r="N6" i="5"/>
  <c r="N5" i="5"/>
  <c r="N31" i="5"/>
  <c r="N28" i="5"/>
  <c r="N19" i="5"/>
  <c r="N18" i="5"/>
  <c r="N13" i="5"/>
  <c r="N14" i="5"/>
  <c r="N23" i="5"/>
  <c r="N7" i="5"/>
  <c r="N22" i="5"/>
  <c r="N8" i="5"/>
  <c r="N15" i="5"/>
  <c r="N11" i="5"/>
  <c r="N17" i="5"/>
  <c r="N29" i="5"/>
  <c r="N27" i="5"/>
  <c r="M2" i="5"/>
  <c r="L2" i="5"/>
  <c r="A22" i="5" l="1"/>
  <c r="A27" i="5"/>
  <c r="A21" i="5"/>
  <c r="A25" i="5"/>
  <c r="N2" i="5"/>
  <c r="A9" i="5" s="1"/>
  <c r="A11" i="5" l="1"/>
  <c r="A13" i="5"/>
  <c r="A12" i="5"/>
  <c r="A8" i="5"/>
  <c r="A30" i="5"/>
  <c r="A32" i="5"/>
  <c r="A26" i="5"/>
  <c r="A20" i="5"/>
  <c r="A29" i="5"/>
  <c r="A23" i="5"/>
  <c r="A5" i="5"/>
  <c r="A4" i="5"/>
  <c r="A7" i="5"/>
  <c r="A31" i="5"/>
  <c r="A6" i="5"/>
  <c r="A19" i="5"/>
  <c r="A28" i="5"/>
  <c r="A24" i="5"/>
  <c r="A18" i="5"/>
  <c r="A2" i="5"/>
  <c r="A3" i="5"/>
  <c r="A33" i="5"/>
  <c r="A10" i="5"/>
</calcChain>
</file>

<file path=xl/sharedStrings.xml><?xml version="1.0" encoding="utf-8"?>
<sst xmlns="http://schemas.openxmlformats.org/spreadsheetml/2006/main" count="42" uniqueCount="36">
  <si>
    <t>Numéro</t>
  </si>
  <si>
    <t>Nom Equipe</t>
  </si>
  <si>
    <t>+</t>
  </si>
  <si>
    <t>-</t>
  </si>
  <si>
    <t>Equipe A</t>
  </si>
  <si>
    <t>Nom Equipe A</t>
  </si>
  <si>
    <t>Parties Gagnéés</t>
  </si>
  <si>
    <t>Parties Jouées</t>
  </si>
  <si>
    <t>Place</t>
  </si>
  <si>
    <t>Somme</t>
  </si>
  <si>
    <t>Total Points</t>
  </si>
  <si>
    <t>1ere Partie Equipe B</t>
  </si>
  <si>
    <t>1ere Partie Equipe A</t>
  </si>
  <si>
    <t>2ème Partie Equipe A</t>
  </si>
  <si>
    <t>2ème Partie Equipe B</t>
  </si>
  <si>
    <t>3ème Partie Equipe A</t>
  </si>
  <si>
    <t>3ème Partie Equipe B</t>
  </si>
  <si>
    <t>4ème Partie Equipe A</t>
  </si>
  <si>
    <t>4ème Partie Equipe B</t>
  </si>
  <si>
    <t>Equipe B</t>
  </si>
  <si>
    <t>Partie 1</t>
  </si>
  <si>
    <t>Partie 2</t>
  </si>
  <si>
    <t>Partie 3</t>
  </si>
  <si>
    <t>Partie 4</t>
  </si>
  <si>
    <t>Equipe</t>
  </si>
  <si>
    <t>Résultats</t>
  </si>
  <si>
    <t>Rencontres</t>
  </si>
  <si>
    <t>Points</t>
  </si>
  <si>
    <t>saisir le resultat des rencontres dans le tablea résultat de l'onglet Rencontres</t>
  </si>
  <si>
    <t>Remarques :</t>
  </si>
  <si>
    <t>dans l'onglet Rencontre, cliquer sur le bouton Tirage Partie pour calculer les rencontres entre équipe. Pour la première partie, l'appariement est effectué au hasard. Pour les autres partie, les rencontres sont calculées en faisant rencontrer les équipes proches au classement et qui ne se sont pas déjà rencontrées (si possible).</t>
  </si>
  <si>
    <t>entrer le nom des équipes dans l'onglet Equipes.</t>
  </si>
  <si>
    <t>si le nombre d'équipes est impair, une équipe nommé 'toujours perdant' est créée. Il faudra lui attribuer automatiquement une défaite (0 - 13).</t>
  </si>
  <si>
    <t>la répartition des équipes (tableau Rencontres de l'onglet Rencontres) peux être saisie manuellement à la place d'être calculée par le bouton 'Tirage Partie'.</t>
  </si>
  <si>
    <t>Aide</t>
  </si>
  <si>
    <t>l'onglet Tableau de bord affiche un récapitulatif des rencontres, il est possible de classer ce tableau en cliquant sur la flèche de la colonne sur laquelle on veut trier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</si>
</sst>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quot; €&quot;"/>
  </numFmts>
  <fonts count="11" x14ac:knownFonts="1">
    <font>
      <sz val="11"/>
      <color theme="1"/>
      <name val="Calibri"/>
      <family val="2"/>
      <scheme val="minor"/>
    </font>
    <font>
      <sz val="11"/>
      <color rgb="FF000000"/>
      <name val="Calibri"/>
      <family val="2"/>
    </font>
    <font>
      <b/>
      <sz val="11"/>
      <color rgb="FF000000"/>
      <name val="Calibri"/>
      <family val="2"/>
    </font>
    <font>
      <sz val="11"/>
      <name val="Calibri"/>
      <family val="2"/>
    </font>
    <font>
      <sz val="8"/>
      <name val="Calibri"/>
      <family val="2"/>
      <scheme val="minor"/>
    </font>
    <font>
      <b/>
      <sz val="12"/>
      <color rgb="FF000000"/>
      <name val="Calibri"/>
      <family val="2"/>
    </font>
    <font>
      <sz val="18"/>
      <color theme="1"/>
      <name val="Calibri"/>
      <family val="2"/>
      <scheme val="minor"/>
    </font>
    <font>
      <sz val="14"/>
      <color rgb="FF000000"/>
      <name val="Calibri"/>
      <family val="2"/>
    </font>
    <font>
      <sz val="20"/>
      <name val="Calibri"/>
      <family val="2"/>
    </font>
    <font>
      <b/>
      <sz val="24"/>
      <color rgb="FF000000"/>
      <name val="Calibri"/>
      <family val="2"/>
    </font>
    <font>
      <b/>
      <i/>
      <sz val="11"/>
      <color rgb="FF000000"/>
      <name val="Calibri"/>
      <family val="2"/>
    </font>
  </fonts>
  <fills count="9">
    <fill>
      <patternFill patternType="none"/>
    </fill>
    <fill>
      <patternFill patternType="gray125"/>
    </fill>
    <fill>
      <patternFill patternType="solid">
        <fgColor rgb="FFFFFFD7"/>
        <bgColor rgb="FFFFFFD7"/>
      </patternFill>
    </fill>
    <fill>
      <patternFill patternType="solid">
        <fgColor theme="7" tint="0.79998168889431442"/>
        <bgColor rgb="FFDDDDDD"/>
      </patternFill>
    </fill>
    <fill>
      <patternFill patternType="solid">
        <fgColor rgb="FFFFC000"/>
        <bgColor rgb="FFDDDDDD"/>
      </patternFill>
    </fill>
    <fill>
      <patternFill patternType="solid">
        <fgColor rgb="FFFFC000"/>
        <bgColor rgb="FFFFFFFF"/>
      </patternFill>
    </fill>
    <fill>
      <patternFill patternType="solid">
        <fgColor rgb="FFFFC000"/>
        <bgColor indexed="64"/>
      </patternFill>
    </fill>
    <fill>
      <patternFill patternType="solid">
        <fgColor theme="7" tint="0.79998168889431442"/>
        <bgColor indexed="64"/>
      </patternFill>
    </fill>
    <fill>
      <patternFill patternType="solid">
        <fgColor rgb="FFFFC000"/>
        <bgColor rgb="FFFFFFD7"/>
      </patternFill>
    </fill>
  </fills>
  <borders count="12">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top/>
      <bottom style="thin">
        <color rgb="FF000000"/>
      </bottom>
      <diagonal/>
    </border>
    <border>
      <left/>
      <right style="thin">
        <color rgb="FF000000"/>
      </right>
      <top/>
      <bottom style="thin">
        <color rgb="FF000000"/>
      </bottom>
      <diagonal/>
    </border>
    <border>
      <left/>
      <right style="thin">
        <color rgb="FF000000"/>
      </right>
      <top style="thin">
        <color rgb="FF000000"/>
      </top>
      <bottom/>
      <diagonal/>
    </border>
    <border>
      <left style="thin">
        <color rgb="FF000000"/>
      </left>
      <right style="thin">
        <color rgb="FF000000"/>
      </right>
      <top/>
      <bottom style="thin">
        <color rgb="FF000000"/>
      </bottom>
      <diagonal/>
    </border>
    <border>
      <left style="thin">
        <color rgb="FF000000"/>
      </left>
      <right/>
      <top/>
      <bottom/>
      <diagonal/>
    </border>
    <border>
      <left/>
      <right/>
      <top style="thin">
        <color rgb="FF000000"/>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0" borderId="0"/>
  </cellStyleXfs>
  <cellXfs count="37">
    <xf numFmtId="0" fontId="0" fillId="0" borderId="0" xfId="0"/>
    <xf numFmtId="0" fontId="1" fillId="0" borderId="0" xfId="1"/>
    <xf numFmtId="0" fontId="1" fillId="2" borderId="4" xfId="1" applyFill="1" applyBorder="1" applyProtection="1">
      <protection locked="0"/>
    </xf>
    <xf numFmtId="0" fontId="1" fillId="0" borderId="0" xfId="1" applyAlignment="1">
      <alignment horizontal="center"/>
    </xf>
    <xf numFmtId="0" fontId="2" fillId="0" borderId="0" xfId="1" applyFont="1"/>
    <xf numFmtId="0" fontId="3" fillId="0" borderId="0" xfId="1" applyFont="1"/>
    <xf numFmtId="0" fontId="3" fillId="0" borderId="3" xfId="1" applyFont="1" applyBorder="1" applyAlignment="1">
      <alignment horizontal="center" vertical="center"/>
    </xf>
    <xf numFmtId="0" fontId="3" fillId="0" borderId="4" xfId="1" applyFont="1" applyBorder="1" applyAlignment="1">
      <alignment horizontal="center" vertical="center"/>
    </xf>
    <xf numFmtId="0" fontId="3" fillId="0" borderId="4" xfId="1" applyFont="1" applyBorder="1" applyAlignment="1">
      <alignment horizontal="center" vertical="center" wrapText="1"/>
    </xf>
    <xf numFmtId="164" fontId="3" fillId="0" borderId="1" xfId="1" applyNumberFormat="1" applyFont="1" applyBorder="1" applyAlignment="1">
      <alignment horizontal="center" vertical="center" wrapText="1"/>
    </xf>
    <xf numFmtId="0" fontId="0" fillId="0" borderId="4" xfId="1" applyFont="1" applyBorder="1" applyAlignment="1">
      <alignment horizontal="center" vertical="center" wrapText="1"/>
    </xf>
    <xf numFmtId="0" fontId="1" fillId="3" borderId="11" xfId="1" applyFill="1" applyBorder="1" applyAlignment="1">
      <alignment horizontal="center"/>
    </xf>
    <xf numFmtId="0" fontId="1" fillId="2" borderId="11" xfId="1" applyFill="1" applyBorder="1" applyAlignment="1">
      <alignment horizontal="center"/>
    </xf>
    <xf numFmtId="0" fontId="0" fillId="0" borderId="0" xfId="0" applyAlignment="1">
      <alignment horizontal="center"/>
    </xf>
    <xf numFmtId="0" fontId="2" fillId="4" borderId="2" xfId="1" applyFont="1" applyFill="1" applyBorder="1" applyAlignment="1">
      <alignment horizontal="center"/>
    </xf>
    <xf numFmtId="0" fontId="2" fillId="4" borderId="1" xfId="1" applyFont="1" applyFill="1" applyBorder="1" applyAlignment="1">
      <alignment horizontal="center"/>
    </xf>
    <xf numFmtId="0" fontId="2" fillId="4" borderId="4" xfId="1" applyFont="1" applyFill="1" applyBorder="1" applyAlignment="1">
      <alignment horizontal="center"/>
    </xf>
    <xf numFmtId="0" fontId="2" fillId="5" borderId="0" xfId="1" applyFont="1" applyFill="1" applyAlignment="1">
      <alignment vertical="center"/>
    </xf>
    <xf numFmtId="20" fontId="5" fillId="5" borderId="11" xfId="1" applyNumberFormat="1" applyFont="1" applyFill="1" applyBorder="1" applyAlignment="1">
      <alignment vertical="center"/>
    </xf>
    <xf numFmtId="0" fontId="2" fillId="4" borderId="11" xfId="1" applyFont="1" applyFill="1" applyBorder="1" applyAlignment="1">
      <alignment horizontal="center"/>
    </xf>
    <xf numFmtId="0" fontId="3" fillId="0" borderId="8" xfId="1" applyFont="1" applyBorder="1" applyAlignment="1">
      <alignment horizontal="center" vertical="center" wrapText="1"/>
    </xf>
    <xf numFmtId="0" fontId="3" fillId="0" borderId="6" xfId="1" applyFont="1" applyBorder="1" applyAlignment="1">
      <alignment horizontal="center" vertical="center"/>
    </xf>
    <xf numFmtId="0" fontId="3" fillId="0" borderId="8" xfId="1" applyFont="1" applyBorder="1" applyAlignment="1">
      <alignment horizontal="center" vertical="center"/>
    </xf>
    <xf numFmtId="0" fontId="8" fillId="0" borderId="8" xfId="1" applyFont="1" applyBorder="1" applyAlignment="1">
      <alignment horizontal="center" vertical="center" wrapText="1"/>
    </xf>
    <xf numFmtId="0" fontId="3" fillId="0" borderId="5" xfId="1" applyFont="1" applyBorder="1" applyAlignment="1">
      <alignment horizontal="center" vertical="center" wrapText="1"/>
    </xf>
    <xf numFmtId="0" fontId="2" fillId="4" borderId="10" xfId="1" applyFont="1" applyFill="1" applyBorder="1" applyAlignment="1">
      <alignment vertical="center"/>
    </xf>
    <xf numFmtId="0" fontId="2" fillId="4" borderId="7" xfId="1" applyFont="1" applyFill="1" applyBorder="1" applyAlignment="1">
      <alignment vertical="center"/>
    </xf>
    <xf numFmtId="0" fontId="10" fillId="4" borderId="10" xfId="1" applyFont="1" applyFill="1" applyBorder="1" applyAlignment="1">
      <alignment vertical="center"/>
    </xf>
    <xf numFmtId="0" fontId="6" fillId="6" borderId="0" xfId="0" applyFont="1" applyFill="1" applyAlignment="1">
      <alignment horizontal="center" vertical="top"/>
    </xf>
    <xf numFmtId="0" fontId="0" fillId="6" borderId="0" xfId="0" applyFill="1" applyAlignment="1">
      <alignment horizontal="center"/>
    </xf>
    <xf numFmtId="0" fontId="0" fillId="7" borderId="0" xfId="0" applyFill="1" applyAlignment="1">
      <alignment vertical="top" wrapText="1"/>
    </xf>
    <xf numFmtId="0" fontId="1" fillId="8" borderId="11" xfId="1" applyFill="1" applyBorder="1" applyAlignment="1">
      <alignment horizontal="center"/>
    </xf>
    <xf numFmtId="0" fontId="9" fillId="0" borderId="0" xfId="1" applyFont="1" applyAlignment="1">
      <alignment vertical="center"/>
    </xf>
    <xf numFmtId="0" fontId="9" fillId="4" borderId="0" xfId="1" applyFont="1" applyFill="1" applyAlignment="1">
      <alignment horizontal="left" vertical="center"/>
    </xf>
    <xf numFmtId="0" fontId="10" fillId="4" borderId="9" xfId="1" applyFont="1" applyFill="1" applyBorder="1" applyAlignment="1">
      <alignment horizontal="center" vertical="center" textRotation="90"/>
    </xf>
    <xf numFmtId="0" fontId="10" fillId="4" borderId="5" xfId="1" applyFont="1" applyFill="1" applyBorder="1" applyAlignment="1">
      <alignment horizontal="center" vertical="center" textRotation="90"/>
    </xf>
    <xf numFmtId="0" fontId="9" fillId="5" borderId="0" xfId="1" applyFont="1" applyFill="1" applyAlignment="1">
      <alignment horizontal="center" vertical="center"/>
    </xf>
  </cellXfs>
  <cellStyles count="2">
    <cellStyle name="Normal" xfId="0" builtinId="0"/>
    <cellStyle name="Normal 2" xfId="1" xr:uid="{B11049EF-8B39-4CEC-800F-39D61D305305}"/>
  </cellStyles>
  <dxfs count="23">
    <dxf>
      <font>
        <strike val="0"/>
        <outline val="0"/>
        <shadow val="0"/>
        <u val="none"/>
        <vertAlign val="baseline"/>
        <color auto="1"/>
        <name val="Calibri"/>
        <family val="2"/>
        <scheme val="none"/>
      </font>
      <numFmt numFmtId="164" formatCode="#,##0.00&quot; €&quot;"/>
      <fill>
        <patternFill patternType="none">
          <bgColor auto="1"/>
        </patternFill>
      </fill>
      <alignment horizontal="center" vertical="center" textRotation="0" wrapText="1" indent="0" justifyLastLine="0" shrinkToFit="0" readingOrder="0"/>
      <border diagonalUp="0" diagonalDown="0" outline="0">
        <left style="thin">
          <color rgb="FF000000"/>
        </left>
        <right/>
        <top style="thin">
          <color rgb="FF000000"/>
        </top>
        <bottom style="thin">
          <color rgb="FF000000"/>
        </bottom>
      </border>
    </dxf>
    <dxf>
      <font>
        <strike val="0"/>
        <outline val="0"/>
        <shadow val="0"/>
        <u val="none"/>
        <vertAlign val="baseline"/>
        <color auto="1"/>
        <name val="Calibri"/>
        <family val="2"/>
        <scheme val="none"/>
      </font>
      <fill>
        <patternFill patternType="none">
          <bgColor auto="1"/>
        </patternFill>
      </fill>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Calibri"/>
        <family val="2"/>
        <scheme val="none"/>
      </font>
      <numFmt numFmtId="0" formatCode="General"/>
      <fill>
        <patternFill patternType="none">
          <fgColor indexed="64"/>
          <bgColor indexed="65"/>
        </patternFill>
      </fill>
      <alignment horizontal="center"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strike val="0"/>
        <outline val="0"/>
        <shadow val="0"/>
        <u val="none"/>
        <vertAlign val="baseline"/>
        <color auto="1"/>
        <name val="Calibri"/>
        <family val="2"/>
        <scheme val="none"/>
      </font>
      <numFmt numFmtId="0" formatCode="General"/>
      <fill>
        <patternFill patternType="none">
          <fgColor rgb="FFDDDDDD"/>
          <bgColor auto="1"/>
        </patternFill>
      </fill>
      <alignment horizontal="center"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border>
    </dxf>
    <dxf>
      <font>
        <strike val="0"/>
        <outline val="0"/>
        <shadow val="0"/>
        <u val="none"/>
        <vertAlign val="baseline"/>
        <color auto="1"/>
        <name val="Calibri"/>
        <family val="2"/>
        <scheme val="none"/>
      </font>
      <numFmt numFmtId="0" formatCode="General"/>
      <fill>
        <patternFill patternType="none">
          <bgColor auto="1"/>
        </patternFill>
      </fill>
      <alignment horizontal="center"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border>
    </dxf>
    <dxf>
      <font>
        <strike val="0"/>
        <outline val="0"/>
        <shadow val="0"/>
        <u val="none"/>
        <vertAlign val="baseline"/>
        <color auto="1"/>
        <name val="Calibri"/>
        <family val="2"/>
        <scheme val="none"/>
      </font>
      <numFmt numFmtId="0" formatCode="General"/>
      <fill>
        <patternFill patternType="none">
          <bgColor auto="1"/>
        </patternFill>
      </fill>
      <alignment horizontal="center"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Calibri"/>
        <family val="2"/>
        <scheme val="none"/>
      </font>
      <numFmt numFmtId="0" formatCode="General"/>
      <fill>
        <patternFill patternType="none">
          <fgColor indexed="64"/>
          <bgColor indexed="65"/>
        </patternFill>
      </fill>
      <alignment horizontal="center"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strike val="0"/>
        <outline val="0"/>
        <shadow val="0"/>
        <u val="none"/>
        <vertAlign val="baseline"/>
        <color auto="1"/>
        <name val="Calibri"/>
        <family val="2"/>
        <scheme val="none"/>
      </font>
      <fill>
        <patternFill patternType="none">
          <fgColor rgb="FFDDDDDD"/>
          <bgColor auto="1"/>
        </patternFill>
      </fill>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Calibri"/>
        <family val="2"/>
        <scheme val="none"/>
      </font>
      <numFmt numFmtId="0" formatCode="General"/>
      <fill>
        <patternFill patternType="none">
          <fgColor indexed="64"/>
          <bgColor indexed="65"/>
        </patternFill>
      </fill>
      <alignment horizontal="center"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strike val="0"/>
        <outline val="0"/>
        <shadow val="0"/>
        <u val="none"/>
        <vertAlign val="baseline"/>
        <color auto="1"/>
        <name val="Calibri"/>
        <family val="2"/>
        <scheme val="none"/>
      </font>
      <fill>
        <patternFill patternType="none">
          <fgColor rgb="FFDDDDDD"/>
          <bgColor auto="1"/>
        </patternFill>
      </fill>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Calibri"/>
        <family val="2"/>
        <scheme val="none"/>
      </font>
      <numFmt numFmtId="0" formatCode="General"/>
      <fill>
        <patternFill patternType="none">
          <fgColor indexed="64"/>
          <bgColor indexed="65"/>
        </patternFill>
      </fill>
      <alignment horizontal="center"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strike val="0"/>
        <outline val="0"/>
        <shadow val="0"/>
        <u val="none"/>
        <vertAlign val="baseline"/>
        <color auto="1"/>
        <name val="Calibri"/>
        <family val="2"/>
        <scheme val="none"/>
      </font>
      <fill>
        <patternFill patternType="none">
          <fgColor rgb="FFDDDDDD"/>
          <bgColor auto="1"/>
        </patternFill>
      </fill>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Calibri"/>
        <family val="2"/>
        <scheme val="none"/>
      </font>
      <numFmt numFmtId="0" formatCode="General"/>
      <fill>
        <patternFill patternType="none">
          <fgColor indexed="64"/>
          <bgColor indexed="65"/>
        </patternFill>
      </fill>
      <alignment horizontal="center"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strike val="0"/>
        <outline val="0"/>
        <shadow val="0"/>
        <u val="none"/>
        <vertAlign val="baseline"/>
        <color auto="1"/>
        <name val="Calibri"/>
        <family val="2"/>
        <scheme val="none"/>
      </font>
      <fill>
        <patternFill patternType="none">
          <fgColor rgb="FFDDDDDD"/>
          <bgColor auto="1"/>
        </patternFill>
      </fill>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u val="none"/>
        <vertAlign val="baseline"/>
        <color auto="1"/>
        <name val="Calibri"/>
        <family val="2"/>
        <scheme val="none"/>
      </font>
      <fill>
        <patternFill patternType="none">
          <fgColor rgb="FFDDDDDD"/>
          <bgColor auto="1"/>
        </patternFill>
      </fill>
      <alignment horizontal="center" vertical="center" textRotation="0" wrapText="0"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u val="none"/>
        <vertAlign val="baseline"/>
        <color auto="1"/>
        <name val="Calibri"/>
        <family val="2"/>
        <scheme val="none"/>
      </font>
      <fill>
        <patternFill patternType="none">
          <bgColor auto="1"/>
        </patternFill>
      </fill>
      <alignment horizontal="center" vertical="center" textRotation="0" wrapText="0" indent="0" justifyLastLine="0" shrinkToFit="0" readingOrder="0"/>
      <border diagonalUp="0" diagonalDown="0" outline="0">
        <left/>
        <right style="thin">
          <color rgb="FF000000"/>
        </right>
        <top style="thin">
          <color rgb="FF000000"/>
        </top>
        <bottom style="thin">
          <color rgb="FF000000"/>
        </bottom>
      </border>
    </dxf>
    <dxf>
      <font>
        <strike val="0"/>
        <outline val="0"/>
        <shadow val="0"/>
        <u val="none"/>
        <vertAlign val="baseline"/>
        <color theme="1"/>
        <name val="Calibri"/>
        <family val="2"/>
        <scheme val="minor"/>
      </font>
      <numFmt numFmtId="0" formatCode="General"/>
      <fill>
        <patternFill patternType="none">
          <fgColor indexed="64"/>
          <bgColor indexed="65"/>
        </patternFill>
      </fill>
      <alignment horizontal="center"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border outline="0">
        <top style="thin">
          <color rgb="FF000000"/>
        </top>
      </border>
    </dxf>
    <dxf>
      <border outline="0">
        <left style="thin">
          <color rgb="FF000000"/>
        </left>
        <right style="thin">
          <color rgb="FF000000"/>
        </right>
        <top style="thin">
          <color rgb="FF000000"/>
        </top>
        <bottom style="thin">
          <color rgb="FF000000"/>
        </bottom>
      </border>
    </dxf>
    <dxf>
      <font>
        <strike val="0"/>
        <outline val="0"/>
        <shadow val="0"/>
        <u val="none"/>
        <vertAlign val="baseline"/>
        <color auto="1"/>
        <name val="Calibri"/>
        <family val="2"/>
        <scheme val="none"/>
      </font>
      <fill>
        <patternFill patternType="none">
          <bgColor auto="1"/>
        </patternFill>
      </fill>
    </dxf>
    <dxf>
      <border outline="0">
        <bottom style="thin">
          <color rgb="FF000000"/>
        </bottom>
      </border>
    </dxf>
    <dxf>
      <font>
        <b val="0"/>
        <i val="0"/>
        <strike val="0"/>
        <condense val="0"/>
        <extend val="0"/>
        <outline val="0"/>
        <shadow val="0"/>
        <u val="none"/>
        <vertAlign val="baseline"/>
        <sz val="11"/>
        <color auto="1"/>
        <name val="Calibri"/>
        <family val="2"/>
        <scheme val="none"/>
      </font>
      <fill>
        <patternFill patternType="none">
          <bgColor auto="1"/>
        </patternFill>
      </fill>
      <alignment horizontal="center" vertical="center" textRotation="0" wrapText="1" indent="0" justifyLastLine="0" shrinkToFit="0" readingOrder="0"/>
      <border diagonalUp="0" diagonalDown="0" outline="0">
        <left style="thin">
          <color rgb="FF000000"/>
        </left>
        <right style="thin">
          <color rgb="FF000000"/>
        </right>
        <top/>
        <bottom/>
      </border>
    </dxf>
    <dxf>
      <font>
        <b/>
      </font>
      <fill>
        <patternFill patternType="solid">
          <fgColor rgb="FFDDDDDD"/>
          <bgColor rgb="FFFFC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13" Type="http://schemas.microsoft.com/office/2017/10/relationships/person" Target="persons/person1.xml"/><Relationship Id="rId18" Type="http://schemas.microsoft.com/office/2017/10/relationships/person" Target="persons/person3.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17/10/relationships/person" Target="persons/person0.xml"/><Relationship Id="rId17" Type="http://schemas.microsoft.com/office/2017/10/relationships/person" Target="persons/person5.xml"/><Relationship Id="rId2" Type="http://schemas.openxmlformats.org/officeDocument/2006/relationships/worksheet" Target="worksheets/sheet2.xml"/><Relationship Id="rId16" Type="http://schemas.microsoft.com/office/2017/10/relationships/person" Target="persons/person4.xml"/><Relationship Id="rId1" Type="http://schemas.openxmlformats.org/officeDocument/2006/relationships/worksheet" Target="worksheets/sheet1.xml"/><Relationship Id="rId6" Type="http://schemas.openxmlformats.org/officeDocument/2006/relationships/styles" Target="styles.xml"/><Relationship Id="rId11" Type="http://schemas.microsoft.com/office/2017/10/relationships/person" Target="persons/person7.xml"/><Relationship Id="rId5" Type="http://schemas.openxmlformats.org/officeDocument/2006/relationships/theme" Target="theme/theme1.xml"/><Relationship Id="rId15" Type="http://schemas.microsoft.com/office/2017/10/relationships/person" Target="persons/person2.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 Id="rId14" Type="http://schemas.microsoft.com/office/2017/10/relationships/person" Target="persons/person6.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311150</xdr:colOff>
          <xdr:row>1</xdr:row>
          <xdr:rowOff>6350</xdr:rowOff>
        </xdr:from>
        <xdr:to>
          <xdr:col>18</xdr:col>
          <xdr:colOff>419100</xdr:colOff>
          <xdr:row>3</xdr:row>
          <xdr:rowOff>12700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fr-FR" sz="1400" b="0" i="0" u="none" strike="noStrike" baseline="0">
                  <a:solidFill>
                    <a:srgbClr val="000000"/>
                  </a:solidFill>
                  <a:latin typeface="Calibri"/>
                  <a:ea typeface="Calibri"/>
                  <a:cs typeface="Calibri"/>
                </a:rPr>
                <a:t>Tirage Partie</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file>

<file path=xl/persons/person0.xml><?xml version="1.0" encoding="utf-8"?>
<personList xmlns="http://schemas.microsoft.com/office/spreadsheetml/2018/threadedcomments" xmlns:x="http://schemas.openxmlformats.org/spreadsheetml/2006/main"/>
</file>

<file path=xl/persons/person1.xml><?xml version="1.0" encoding="utf-8"?>
<personList xmlns="http://schemas.microsoft.com/office/spreadsheetml/2018/threadedcomments" xmlns:x="http://schemas.openxmlformats.org/spreadsheetml/2006/main"/>
</file>

<file path=xl/persons/person2.xml><?xml version="1.0" encoding="utf-8"?>
<personList xmlns="http://schemas.microsoft.com/office/spreadsheetml/2018/threadedcomments" xmlns:x="http://schemas.openxmlformats.org/spreadsheetml/2006/main"/>
</file>

<file path=xl/persons/person3.xml><?xml version="1.0" encoding="utf-8"?>
<personList xmlns="http://schemas.microsoft.com/office/spreadsheetml/2018/threadedcomments" xmlns:x="http://schemas.openxmlformats.org/spreadsheetml/2006/main"/>
</file>

<file path=xl/persons/person4.xml><?xml version="1.0" encoding="utf-8"?>
<personList xmlns="http://schemas.microsoft.com/office/spreadsheetml/2018/threadedcomments" xmlns:x="http://schemas.openxmlformats.org/spreadsheetml/2006/main"/>
</file>

<file path=xl/persons/person5.xml><?xml version="1.0" encoding="utf-8"?>
<personList xmlns="http://schemas.microsoft.com/office/spreadsheetml/2018/threadedcomments" xmlns:x="http://schemas.openxmlformats.org/spreadsheetml/2006/main"/>
</file>

<file path=xl/persons/person6.xml><?xml version="1.0" encoding="utf-8"?>
<personList xmlns="http://schemas.microsoft.com/office/spreadsheetml/2018/threadedcomments" xmlns:x="http://schemas.openxmlformats.org/spreadsheetml/2006/main"/>
</file>

<file path=xl/persons/person7.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13CD5AC-A6FD-4DBF-94F0-E6D4C2C08AA4}" name="__Anonymous_Sheet_DB__1" displayName="__Anonymous_Sheet_DB__1" ref="A1:B33" totalsRowShown="0">
  <tableColumns count="2">
    <tableColumn id="1" xr3:uid="{5D9A559F-FF27-40BC-81C5-CC1238E7CF54}" name="Numéro" dataDxfId="22"/>
    <tableColumn id="2" xr3:uid="{A16EEB1D-4551-4991-AF74-F23BF1AFC836}" name="Nom Equipe"/>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D7BF81E-A087-4E75-B37F-CA0CEE3D5481}" name="TableauDeBord" displayName="TableauDeBord" ref="A1:Q33" totalsRowShown="0" headerRowDxfId="21" dataDxfId="19" headerRowBorderDxfId="20" tableBorderDxfId="18" totalsRowBorderDxfId="17" headerRowCellStyle="Normal 2">
  <autoFilter ref="A1:Q33" xr:uid="{3D7BF81E-A087-4E75-B37F-CA0CEE3D5481}"/>
  <sortState xmlns:xlrd2="http://schemas.microsoft.com/office/spreadsheetml/2017/richdata2" ref="A2:Q33">
    <sortCondition ref="B1:B33"/>
  </sortState>
  <tableColumns count="17">
    <tableColumn id="11" xr3:uid="{E18A6871-4EA1-4ADD-B5D9-7F4B987C385A}" name="Place" dataDxfId="16" dataCellStyle="Normal 2">
      <calculatedColumnFormula>IF(TableauDeBord[[#This Row],[Parties Jouées]]&gt;=1,_xlfn.RANK.EQ(N2,$N$2:$N$33),"")</calculatedColumnFormula>
    </tableColumn>
    <tableColumn id="1" xr3:uid="{292EB148-785A-4864-ABEA-EBC64854ECCF}" name="Equipe A" dataDxfId="15" dataCellStyle="Normal 2"/>
    <tableColumn id="2" xr3:uid="{CEE02F19-9353-4423-BEF7-28AB29E515D2}" name="Nom Equipe A" dataDxfId="14" dataCellStyle="Normal 2"/>
    <tableColumn id="3" xr3:uid="{6FB2DA02-FC38-4D99-B0AA-69E5C63A8DAD}" name="1ere Partie Equipe A" dataDxfId="13" dataCellStyle="Normal 2"/>
    <tableColumn id="13" xr3:uid="{5FED95C6-DF9B-41D5-914F-548780B3504B}" name="1ere Partie Equipe B" dataDxfId="12" dataCellStyle="Normal 2">
      <calculatedColumnFormula>IF(ISBLANK(Rencontres!C3),0,VLOOKUP(VLOOKUP($B2,Rencontres!$B$3:$C$34,2),Rencontres!$K$2:$O$34,2))</calculatedColumnFormula>
    </tableColumn>
    <tableColumn id="4" xr3:uid="{E4CB40AF-DF7E-4889-85F0-C754EB9C954F}" name="2ème Partie Equipe A" dataDxfId="11" dataCellStyle="Normal 2"/>
    <tableColumn id="14" xr3:uid="{F042F36B-24F9-4586-AE8C-4316CABD690D}" name="2ème Partie Equipe B" dataDxfId="10" dataCellStyle="Normal 2">
      <calculatedColumnFormula>IF(ISBLANK(Rencontres!D3),0,VLOOKUP(VLOOKUP($B2,Rencontres!$B$3:$F$34,3),Rencontres!$K$2:$O$34,3))</calculatedColumnFormula>
    </tableColumn>
    <tableColumn id="5" xr3:uid="{9A9258BA-789F-4DA4-AAB1-1DDB62A1CE28}" name="3ème Partie Equipe A" dataDxfId="9" dataCellStyle="Normal 2"/>
    <tableColumn id="15" xr3:uid="{937B9232-A5B7-4BC8-A56F-E27FD993B3E7}" name="3ème Partie Equipe B" dataDxfId="8" dataCellStyle="Normal 2">
      <calculatedColumnFormula>IF(ISBLANK(Rencontres!E3),0,VLOOKUP(VLOOKUP($B2,Rencontres!$B$3:$F$34,4),Rencontres!$K$2:$O$34,4))</calculatedColumnFormula>
    </tableColumn>
    <tableColumn id="6" xr3:uid="{26347E36-99FE-4B8E-83E6-1385865C0FCE}" name="4ème Partie Equipe A" dataDxfId="7" dataCellStyle="Normal 2"/>
    <tableColumn id="16" xr3:uid="{DFBBD054-B03C-4980-A42D-051746E40727}" name="4ème Partie Equipe B" dataDxfId="6" dataCellStyle="Normal 2">
      <calculatedColumnFormula>IF(ISBLANK(Rencontres!F3),0,VLOOKUP(VLOOKUP($B2,Rencontres!$B$3:$F$34,5),#REF!,5))</calculatedColumnFormula>
    </tableColumn>
    <tableColumn id="7" xr3:uid="{472FF37E-487E-475C-A167-233E92A8094E}" name="+" dataDxfId="5" dataCellStyle="Normal 2">
      <calculatedColumnFormula>IF(TableauDeBord[[#This Row],[Parties Jouées]]&gt;=1,SUM(D2,F2,H2,J2),"")</calculatedColumnFormula>
    </tableColumn>
    <tableColumn id="8" xr3:uid="{B456C492-E4B4-4ADF-8D11-64D5AED702D0}" name="-" dataDxfId="4" dataCellStyle="Normal 2">
      <calculatedColumnFormula>IF(TableauDeBord[[#This Row],[Parties Jouées]]&gt;=1,SUM(E2,G2,I2,K2),"")</calculatedColumnFormula>
    </tableColumn>
    <tableColumn id="9" xr3:uid="{A6679937-CC67-41FE-8030-64990126949B}" name="Total Points" dataDxfId="3" dataCellStyle="Normal 2">
      <calculatedColumnFormula>IF(TableauDeBord[[#This Row],[Parties Jouées]]&gt;=1,L2-TableauDeBord[[#This Row],[-]],"")</calculatedColumnFormula>
    </tableColumn>
    <tableColumn id="17" xr3:uid="{9075833C-2F19-4272-8BD3-65E0B4F2EC10}" name="Parties Jouées" dataDxfId="2" dataCellStyle="Normal 2">
      <calculatedColumnFormula>COUNTIF($D2:$K2,"=13")</calculatedColumnFormula>
    </tableColumn>
    <tableColumn id="10" xr3:uid="{0717D01D-6475-44D1-9F83-4CC7C491F3E4}" name="Parties Gagnéés" dataDxfId="1" dataCellStyle="Normal 2"/>
    <tableColumn id="12" xr3:uid="{645B59BD-D58A-47D1-91F3-143FB8EE5AF9}" name="Somme" dataDxfId="0" dataCellStyle="Normal 2"/>
  </tableColumns>
  <tableStyleInfo name="TableStyleMedium19" showFirstColumn="1"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4447A8-28FA-4F69-9BF9-B33966020067}">
  <sheetPr codeName="Aide"/>
  <dimension ref="A1:F8"/>
  <sheetViews>
    <sheetView tabSelected="1" workbookViewId="0">
      <selection activeCell="D3" sqref="D3"/>
    </sheetView>
  </sheetViews>
  <sheetFormatPr baseColWidth="10" defaultRowHeight="14.5" x14ac:dyDescent="0.35"/>
  <cols>
    <col min="1" max="1" width="24.453125" style="13" customWidth="1"/>
    <col min="2" max="2" width="97.36328125" customWidth="1"/>
  </cols>
  <sheetData>
    <row r="1" spans="1:6" ht="31" x14ac:dyDescent="0.35">
      <c r="A1" s="33" t="s">
        <v>34</v>
      </c>
      <c r="B1" s="33"/>
      <c r="C1" s="32"/>
      <c r="D1" s="32"/>
      <c r="E1" s="32"/>
      <c r="F1" s="32"/>
    </row>
    <row r="2" spans="1:6" ht="23.5" x14ac:dyDescent="0.35">
      <c r="A2" s="28">
        <v>1</v>
      </c>
      <c r="B2" s="30" t="s">
        <v>31</v>
      </c>
    </row>
    <row r="3" spans="1:6" ht="66" customHeight="1" x14ac:dyDescent="0.35">
      <c r="A3" s="28">
        <v>2</v>
      </c>
      <c r="B3" s="30" t="s">
        <v>30</v>
      </c>
    </row>
    <row r="4" spans="1:6" ht="23.5" x14ac:dyDescent="0.35">
      <c r="A4" s="28">
        <v>3</v>
      </c>
      <c r="B4" s="30" t="s">
        <v>28</v>
      </c>
    </row>
    <row r="5" spans="1:6" ht="37" customHeight="1" x14ac:dyDescent="0.35">
      <c r="A5" s="28">
        <v>4</v>
      </c>
      <c r="B5" s="30" t="s">
        <v>35</v>
      </c>
    </row>
    <row r="6" spans="1:6" ht="23.5" x14ac:dyDescent="0.35">
      <c r="A6" s="28"/>
      <c r="B6" s="30"/>
    </row>
    <row r="7" spans="1:6" ht="39" customHeight="1" x14ac:dyDescent="0.35">
      <c r="A7" s="28" t="s">
        <v>29</v>
      </c>
      <c r="B7" s="30" t="s">
        <v>32</v>
      </c>
    </row>
    <row r="8" spans="1:6" ht="38" customHeight="1" x14ac:dyDescent="0.35">
      <c r="A8" s="29"/>
      <c r="B8" s="30" t="s">
        <v>33</v>
      </c>
    </row>
  </sheetData>
  <mergeCells count="1">
    <mergeCell ref="A1:B1"/>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64CD5E-747D-41AD-8BC0-63F5B8F2854D}">
  <sheetPr codeName="Equipes"/>
  <dimension ref="A1:B33"/>
  <sheetViews>
    <sheetView workbookViewId="0">
      <selection activeCell="B2" sqref="B2"/>
    </sheetView>
  </sheetViews>
  <sheetFormatPr baseColWidth="10" defaultRowHeight="14.5" x14ac:dyDescent="0.35"/>
  <cols>
    <col min="1" max="1" width="13.1796875" style="3" customWidth="1"/>
    <col min="2" max="2" width="35.6328125" style="1" customWidth="1"/>
    <col min="3" max="1013" width="10.54296875" style="1" customWidth="1"/>
    <col min="1014" max="16384" width="10.90625" style="1"/>
  </cols>
  <sheetData>
    <row r="1" spans="1:2" x14ac:dyDescent="0.35">
      <c r="A1" s="15" t="s">
        <v>0</v>
      </c>
      <c r="B1" s="14" t="s">
        <v>1</v>
      </c>
    </row>
    <row r="2" spans="1:2" x14ac:dyDescent="0.35">
      <c r="A2" s="16">
        <v>1</v>
      </c>
      <c r="B2" s="2"/>
    </row>
    <row r="3" spans="1:2" x14ac:dyDescent="0.35">
      <c r="A3" s="16">
        <v>2</v>
      </c>
      <c r="B3" s="2"/>
    </row>
    <row r="4" spans="1:2" x14ac:dyDescent="0.35">
      <c r="A4" s="16">
        <v>3</v>
      </c>
      <c r="B4" s="2"/>
    </row>
    <row r="5" spans="1:2" x14ac:dyDescent="0.35">
      <c r="A5" s="16">
        <v>4</v>
      </c>
      <c r="B5" s="2"/>
    </row>
    <row r="6" spans="1:2" x14ac:dyDescent="0.35">
      <c r="A6" s="16">
        <v>5</v>
      </c>
      <c r="B6" s="2"/>
    </row>
    <row r="7" spans="1:2" x14ac:dyDescent="0.35">
      <c r="A7" s="16">
        <v>6</v>
      </c>
      <c r="B7" s="2"/>
    </row>
    <row r="8" spans="1:2" x14ac:dyDescent="0.35">
      <c r="A8" s="16">
        <v>7</v>
      </c>
      <c r="B8" s="2"/>
    </row>
    <row r="9" spans="1:2" x14ac:dyDescent="0.35">
      <c r="A9" s="16">
        <v>8</v>
      </c>
      <c r="B9" s="2"/>
    </row>
    <row r="10" spans="1:2" x14ac:dyDescent="0.35">
      <c r="A10" s="16">
        <v>9</v>
      </c>
      <c r="B10" s="2"/>
    </row>
    <row r="11" spans="1:2" x14ac:dyDescent="0.35">
      <c r="A11" s="16">
        <v>10</v>
      </c>
      <c r="B11" s="2"/>
    </row>
    <row r="12" spans="1:2" x14ac:dyDescent="0.35">
      <c r="A12" s="16">
        <v>11</v>
      </c>
      <c r="B12" s="2"/>
    </row>
    <row r="13" spans="1:2" x14ac:dyDescent="0.35">
      <c r="A13" s="16">
        <v>12</v>
      </c>
      <c r="B13" s="2"/>
    </row>
    <row r="14" spans="1:2" x14ac:dyDescent="0.35">
      <c r="A14" s="16">
        <v>13</v>
      </c>
      <c r="B14" s="2"/>
    </row>
    <row r="15" spans="1:2" x14ac:dyDescent="0.35">
      <c r="A15" s="16">
        <v>14</v>
      </c>
      <c r="B15" s="2"/>
    </row>
    <row r="16" spans="1:2" x14ac:dyDescent="0.35">
      <c r="A16" s="16">
        <v>15</v>
      </c>
      <c r="B16" s="2"/>
    </row>
    <row r="17" spans="1:2" x14ac:dyDescent="0.35">
      <c r="A17" s="16">
        <v>16</v>
      </c>
      <c r="B17" s="2"/>
    </row>
    <row r="18" spans="1:2" x14ac:dyDescent="0.35">
      <c r="A18" s="16">
        <v>17</v>
      </c>
      <c r="B18" s="2"/>
    </row>
    <row r="19" spans="1:2" x14ac:dyDescent="0.35">
      <c r="A19" s="16">
        <v>18</v>
      </c>
      <c r="B19" s="2"/>
    </row>
    <row r="20" spans="1:2" x14ac:dyDescent="0.35">
      <c r="A20" s="16">
        <v>19</v>
      </c>
      <c r="B20" s="2"/>
    </row>
    <row r="21" spans="1:2" x14ac:dyDescent="0.35">
      <c r="A21" s="16">
        <v>20</v>
      </c>
      <c r="B21" s="2"/>
    </row>
    <row r="22" spans="1:2" x14ac:dyDescent="0.35">
      <c r="A22" s="16">
        <v>21</v>
      </c>
      <c r="B22" s="2"/>
    </row>
    <row r="23" spans="1:2" x14ac:dyDescent="0.35">
      <c r="A23" s="16">
        <v>22</v>
      </c>
      <c r="B23" s="2"/>
    </row>
    <row r="24" spans="1:2" x14ac:dyDescent="0.35">
      <c r="A24" s="16">
        <v>23</v>
      </c>
      <c r="B24" s="2"/>
    </row>
    <row r="25" spans="1:2" x14ac:dyDescent="0.35">
      <c r="A25" s="16">
        <v>24</v>
      </c>
      <c r="B25" s="2"/>
    </row>
    <row r="26" spans="1:2" x14ac:dyDescent="0.35">
      <c r="A26" s="16">
        <v>25</v>
      </c>
      <c r="B26" s="2"/>
    </row>
    <row r="27" spans="1:2" x14ac:dyDescent="0.35">
      <c r="A27" s="16">
        <v>26</v>
      </c>
      <c r="B27" s="2"/>
    </row>
    <row r="28" spans="1:2" x14ac:dyDescent="0.35">
      <c r="A28" s="16">
        <v>27</v>
      </c>
      <c r="B28" s="2"/>
    </row>
    <row r="29" spans="1:2" x14ac:dyDescent="0.35">
      <c r="A29" s="16">
        <v>28</v>
      </c>
      <c r="B29" s="2"/>
    </row>
    <row r="30" spans="1:2" x14ac:dyDescent="0.35">
      <c r="A30" s="16">
        <v>29</v>
      </c>
      <c r="B30" s="2"/>
    </row>
    <row r="31" spans="1:2" x14ac:dyDescent="0.35">
      <c r="A31" s="16">
        <v>30</v>
      </c>
      <c r="B31" s="2"/>
    </row>
    <row r="32" spans="1:2" x14ac:dyDescent="0.35">
      <c r="A32" s="16">
        <v>31</v>
      </c>
      <c r="B32" s="2"/>
    </row>
    <row r="33" spans="1:2" x14ac:dyDescent="0.35">
      <c r="A33" s="16">
        <v>32</v>
      </c>
      <c r="B33" s="2"/>
    </row>
  </sheetData>
  <phoneticPr fontId="4" type="noConversion"/>
  <pageMargins left="0.70000000000000007" right="0.70000000000000007" top="1.1437007874015745" bottom="1.1437007874015745" header="0.74999999999999989" footer="0.74999999999999989"/>
  <pageSetup paperSize="0" fitToWidth="0" fitToHeight="0" orientation="portrait" horizontalDpi="0" verticalDpi="0" copies="0"/>
  <headerFooter alignWithMargins="0"/>
  <tableParts count="1">
    <tablePart r:id="rId1"/>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78E0C7-90FA-44A5-84C2-0F3B5D2E0F19}">
  <sheetPr codeName="Rencontres"/>
  <dimension ref="A1:P46"/>
  <sheetViews>
    <sheetView workbookViewId="0">
      <selection activeCell="C3" sqref="C3"/>
    </sheetView>
  </sheetViews>
  <sheetFormatPr baseColWidth="10" defaultRowHeight="14.5" x14ac:dyDescent="0.35"/>
  <cols>
    <col min="1" max="1" width="4.7265625" style="1" customWidth="1"/>
    <col min="2" max="2" width="8.7265625" style="3" customWidth="1"/>
    <col min="3" max="6" width="10.54296875" style="1" customWidth="1"/>
    <col min="7" max="10" width="2.08984375" style="1" customWidth="1"/>
    <col min="11" max="11" width="6.81640625" style="1" customWidth="1"/>
    <col min="12" max="15" width="10.26953125" style="1" customWidth="1"/>
    <col min="16" max="16" width="10.54296875" style="3" customWidth="1"/>
    <col min="17" max="1017" width="10.54296875" style="1" customWidth="1"/>
    <col min="1018" max="16384" width="10.90625" style="1"/>
  </cols>
  <sheetData>
    <row r="1" spans="1:16" ht="31" x14ac:dyDescent="0.35">
      <c r="A1" s="36" t="s">
        <v>26</v>
      </c>
      <c r="B1" s="36"/>
      <c r="C1" s="36"/>
      <c r="D1" s="25"/>
      <c r="E1" s="27" t="s">
        <v>19</v>
      </c>
      <c r="F1" s="26"/>
      <c r="K1" s="33" t="s">
        <v>25</v>
      </c>
      <c r="L1" s="33"/>
      <c r="M1" s="33"/>
      <c r="N1" s="33"/>
      <c r="O1" s="33"/>
      <c r="P1" s="33"/>
    </row>
    <row r="2" spans="1:16" ht="15.5" x14ac:dyDescent="0.35">
      <c r="A2" s="17"/>
      <c r="B2" s="18" t="s">
        <v>24</v>
      </c>
      <c r="C2" s="19" t="s">
        <v>20</v>
      </c>
      <c r="D2" s="19" t="s">
        <v>21</v>
      </c>
      <c r="E2" s="19" t="s">
        <v>22</v>
      </c>
      <c r="F2" s="19" t="s">
        <v>23</v>
      </c>
      <c r="K2" s="18" t="s">
        <v>24</v>
      </c>
      <c r="L2" s="19" t="s">
        <v>20</v>
      </c>
      <c r="M2" s="19" t="s">
        <v>21</v>
      </c>
      <c r="N2" s="19" t="s">
        <v>22</v>
      </c>
      <c r="O2" s="19" t="s">
        <v>23</v>
      </c>
      <c r="P2" s="19" t="s">
        <v>27</v>
      </c>
    </row>
    <row r="3" spans="1:16" x14ac:dyDescent="0.35">
      <c r="A3" s="34" t="s">
        <v>4</v>
      </c>
      <c r="B3" s="19">
        <v>1</v>
      </c>
      <c r="C3" s="11"/>
      <c r="D3" s="11"/>
      <c r="E3" s="11"/>
      <c r="F3" s="11"/>
      <c r="K3" s="19">
        <v>1</v>
      </c>
      <c r="L3" s="12"/>
      <c r="M3" s="12"/>
      <c r="N3" s="12"/>
      <c r="O3" s="12"/>
      <c r="P3" s="31">
        <v>0</v>
      </c>
    </row>
    <row r="4" spans="1:16" x14ac:dyDescent="0.35">
      <c r="A4" s="34"/>
      <c r="B4" s="19">
        <v>2</v>
      </c>
      <c r="C4" s="11"/>
      <c r="D4" s="11"/>
      <c r="E4" s="11"/>
      <c r="F4" s="11"/>
      <c r="K4" s="19">
        <v>2</v>
      </c>
      <c r="L4" s="12"/>
      <c r="M4" s="12"/>
      <c r="N4" s="12"/>
      <c r="O4" s="12"/>
      <c r="P4" s="31">
        <v>0</v>
      </c>
    </row>
    <row r="5" spans="1:16" x14ac:dyDescent="0.35">
      <c r="A5" s="34"/>
      <c r="B5" s="19">
        <v>3</v>
      </c>
      <c r="C5" s="11"/>
      <c r="D5" s="11"/>
      <c r="E5" s="11"/>
      <c r="F5" s="11"/>
      <c r="K5" s="19">
        <v>3</v>
      </c>
      <c r="L5" s="12"/>
      <c r="M5" s="12"/>
      <c r="N5" s="12"/>
      <c r="O5" s="12"/>
      <c r="P5" s="31"/>
    </row>
    <row r="6" spans="1:16" x14ac:dyDescent="0.35">
      <c r="A6" s="34"/>
      <c r="B6" s="19">
        <v>4</v>
      </c>
      <c r="C6" s="11"/>
      <c r="D6" s="11"/>
      <c r="E6" s="11"/>
      <c r="F6" s="11"/>
      <c r="K6" s="19">
        <v>4</v>
      </c>
      <c r="L6" s="12"/>
      <c r="M6" s="12"/>
      <c r="N6" s="12"/>
      <c r="O6" s="12"/>
      <c r="P6" s="31"/>
    </row>
    <row r="7" spans="1:16" x14ac:dyDescent="0.35">
      <c r="A7" s="34"/>
      <c r="B7" s="19">
        <v>5</v>
      </c>
      <c r="C7" s="11"/>
      <c r="D7" s="11"/>
      <c r="E7" s="11"/>
      <c r="F7" s="11"/>
      <c r="K7" s="19">
        <v>5</v>
      </c>
      <c r="L7" s="12"/>
      <c r="M7" s="12"/>
      <c r="N7" s="12"/>
      <c r="O7" s="12"/>
      <c r="P7" s="31"/>
    </row>
    <row r="8" spans="1:16" x14ac:dyDescent="0.35">
      <c r="A8" s="34"/>
      <c r="B8" s="19">
        <v>6</v>
      </c>
      <c r="C8" s="11"/>
      <c r="D8" s="11"/>
      <c r="E8" s="11"/>
      <c r="F8" s="11"/>
      <c r="K8" s="19">
        <v>6</v>
      </c>
      <c r="L8" s="12"/>
      <c r="M8" s="12"/>
      <c r="N8" s="12"/>
      <c r="O8" s="12"/>
      <c r="P8" s="31"/>
    </row>
    <row r="9" spans="1:16" x14ac:dyDescent="0.35">
      <c r="A9" s="34"/>
      <c r="B9" s="19">
        <v>7</v>
      </c>
      <c r="C9" s="11"/>
      <c r="D9" s="11"/>
      <c r="E9" s="11"/>
      <c r="F9" s="11"/>
      <c r="K9" s="19">
        <v>7</v>
      </c>
      <c r="L9" s="12"/>
      <c r="M9" s="12"/>
      <c r="N9" s="12"/>
      <c r="O9" s="12"/>
      <c r="P9" s="31"/>
    </row>
    <row r="10" spans="1:16" x14ac:dyDescent="0.35">
      <c r="A10" s="34"/>
      <c r="B10" s="19">
        <v>8</v>
      </c>
      <c r="C10" s="11"/>
      <c r="D10" s="11"/>
      <c r="E10" s="11"/>
      <c r="F10" s="11"/>
      <c r="K10" s="19">
        <v>8</v>
      </c>
      <c r="L10" s="12"/>
      <c r="M10" s="12"/>
      <c r="N10" s="12"/>
      <c r="O10" s="12"/>
      <c r="P10" s="31"/>
    </row>
    <row r="11" spans="1:16" x14ac:dyDescent="0.35">
      <c r="A11" s="34"/>
      <c r="B11" s="19">
        <v>9</v>
      </c>
      <c r="C11" s="11"/>
      <c r="D11" s="11"/>
      <c r="E11" s="11"/>
      <c r="F11" s="11"/>
      <c r="K11" s="19">
        <v>9</v>
      </c>
      <c r="L11" s="12"/>
      <c r="M11" s="12"/>
      <c r="N11" s="12"/>
      <c r="O11" s="12"/>
      <c r="P11" s="31"/>
    </row>
    <row r="12" spans="1:16" x14ac:dyDescent="0.35">
      <c r="A12" s="34"/>
      <c r="B12" s="19">
        <v>10</v>
      </c>
      <c r="C12" s="11"/>
      <c r="D12" s="11"/>
      <c r="E12" s="11"/>
      <c r="F12" s="11"/>
      <c r="K12" s="19">
        <v>10</v>
      </c>
      <c r="L12" s="12"/>
      <c r="M12" s="12"/>
      <c r="N12" s="12"/>
      <c r="O12" s="12"/>
      <c r="P12" s="31"/>
    </row>
    <row r="13" spans="1:16" x14ac:dyDescent="0.35">
      <c r="A13" s="34"/>
      <c r="B13" s="19">
        <v>11</v>
      </c>
      <c r="C13" s="11"/>
      <c r="D13" s="11"/>
      <c r="E13" s="11"/>
      <c r="F13" s="11"/>
      <c r="K13" s="19">
        <v>11</v>
      </c>
      <c r="L13" s="12"/>
      <c r="M13" s="12"/>
      <c r="N13" s="12"/>
      <c r="O13" s="12"/>
      <c r="P13" s="31"/>
    </row>
    <row r="14" spans="1:16" x14ac:dyDescent="0.35">
      <c r="A14" s="34"/>
      <c r="B14" s="19">
        <v>12</v>
      </c>
      <c r="C14" s="11"/>
      <c r="D14" s="11"/>
      <c r="E14" s="11"/>
      <c r="F14" s="11"/>
      <c r="K14" s="19">
        <v>12</v>
      </c>
      <c r="L14" s="12"/>
      <c r="M14" s="12"/>
      <c r="N14" s="12"/>
      <c r="O14" s="12"/>
      <c r="P14" s="31"/>
    </row>
    <row r="15" spans="1:16" x14ac:dyDescent="0.35">
      <c r="A15" s="34"/>
      <c r="B15" s="19">
        <v>13</v>
      </c>
      <c r="C15" s="11"/>
      <c r="D15" s="11"/>
      <c r="E15" s="11"/>
      <c r="F15" s="11"/>
      <c r="K15" s="19">
        <v>13</v>
      </c>
      <c r="L15" s="12"/>
      <c r="M15" s="12"/>
      <c r="N15" s="12"/>
      <c r="O15" s="12"/>
      <c r="P15" s="31"/>
    </row>
    <row r="16" spans="1:16" x14ac:dyDescent="0.35">
      <c r="A16" s="34"/>
      <c r="B16" s="19">
        <v>14</v>
      </c>
      <c r="C16" s="11"/>
      <c r="D16" s="11"/>
      <c r="E16" s="11"/>
      <c r="F16" s="11"/>
      <c r="K16" s="19">
        <v>14</v>
      </c>
      <c r="L16" s="12"/>
      <c r="M16" s="12"/>
      <c r="N16" s="12"/>
      <c r="O16" s="12"/>
      <c r="P16" s="31"/>
    </row>
    <row r="17" spans="1:16" x14ac:dyDescent="0.35">
      <c r="A17" s="34"/>
      <c r="B17" s="19">
        <v>15</v>
      </c>
      <c r="C17" s="11"/>
      <c r="D17" s="11"/>
      <c r="E17" s="11"/>
      <c r="F17" s="11"/>
      <c r="K17" s="19">
        <v>15</v>
      </c>
      <c r="L17" s="12"/>
      <c r="M17" s="12"/>
      <c r="N17" s="12"/>
      <c r="O17" s="12"/>
      <c r="P17" s="31"/>
    </row>
    <row r="18" spans="1:16" x14ac:dyDescent="0.35">
      <c r="A18" s="34"/>
      <c r="B18" s="19">
        <v>16</v>
      </c>
      <c r="C18" s="11"/>
      <c r="D18" s="11"/>
      <c r="E18" s="11"/>
      <c r="F18" s="11"/>
      <c r="K18" s="19">
        <v>16</v>
      </c>
      <c r="L18" s="12"/>
      <c r="M18" s="12"/>
      <c r="N18" s="12"/>
      <c r="O18" s="12"/>
      <c r="P18" s="31"/>
    </row>
    <row r="19" spans="1:16" x14ac:dyDescent="0.35">
      <c r="A19" s="34"/>
      <c r="B19" s="19">
        <v>17</v>
      </c>
      <c r="C19" s="11"/>
      <c r="D19" s="11"/>
      <c r="E19" s="11"/>
      <c r="F19" s="11"/>
      <c r="K19" s="19">
        <v>17</v>
      </c>
      <c r="L19" s="12"/>
      <c r="M19" s="12"/>
      <c r="N19" s="12"/>
      <c r="O19" s="12"/>
      <c r="P19" s="31"/>
    </row>
    <row r="20" spans="1:16" x14ac:dyDescent="0.35">
      <c r="A20" s="34"/>
      <c r="B20" s="19">
        <v>18</v>
      </c>
      <c r="C20" s="11"/>
      <c r="D20" s="11"/>
      <c r="E20" s="11"/>
      <c r="F20" s="11"/>
      <c r="K20" s="19">
        <v>18</v>
      </c>
      <c r="L20" s="12"/>
      <c r="M20" s="12"/>
      <c r="N20" s="12"/>
      <c r="O20" s="12"/>
      <c r="P20" s="31"/>
    </row>
    <row r="21" spans="1:16" x14ac:dyDescent="0.35">
      <c r="A21" s="34"/>
      <c r="B21" s="19">
        <v>19</v>
      </c>
      <c r="C21" s="11"/>
      <c r="D21" s="11"/>
      <c r="E21" s="11"/>
      <c r="F21" s="11"/>
      <c r="K21" s="19">
        <v>19</v>
      </c>
      <c r="L21" s="12"/>
      <c r="M21" s="12"/>
      <c r="N21" s="12"/>
      <c r="O21" s="12"/>
      <c r="P21" s="31"/>
    </row>
    <row r="22" spans="1:16" x14ac:dyDescent="0.35">
      <c r="A22" s="34"/>
      <c r="B22" s="19">
        <v>20</v>
      </c>
      <c r="C22" s="11"/>
      <c r="D22" s="11"/>
      <c r="E22" s="11"/>
      <c r="F22" s="11"/>
      <c r="K22" s="19">
        <v>20</v>
      </c>
      <c r="L22" s="12"/>
      <c r="M22" s="12"/>
      <c r="N22" s="12"/>
      <c r="O22" s="12"/>
      <c r="P22" s="31"/>
    </row>
    <row r="23" spans="1:16" x14ac:dyDescent="0.35">
      <c r="A23" s="34"/>
      <c r="B23" s="19">
        <v>21</v>
      </c>
      <c r="C23" s="11"/>
      <c r="D23" s="11"/>
      <c r="E23" s="11"/>
      <c r="F23" s="11"/>
      <c r="K23" s="19">
        <v>21</v>
      </c>
      <c r="L23" s="12"/>
      <c r="M23" s="12"/>
      <c r="N23" s="12"/>
      <c r="O23" s="12"/>
      <c r="P23" s="31"/>
    </row>
    <row r="24" spans="1:16" x14ac:dyDescent="0.35">
      <c r="A24" s="34"/>
      <c r="B24" s="19">
        <v>22</v>
      </c>
      <c r="C24" s="11"/>
      <c r="D24" s="11"/>
      <c r="E24" s="11"/>
      <c r="F24" s="11"/>
      <c r="K24" s="19">
        <v>22</v>
      </c>
      <c r="L24" s="12"/>
      <c r="M24" s="12"/>
      <c r="N24" s="12"/>
      <c r="O24" s="12"/>
      <c r="P24" s="31"/>
    </row>
    <row r="25" spans="1:16" x14ac:dyDescent="0.35">
      <c r="A25" s="34"/>
      <c r="B25" s="19">
        <v>23</v>
      </c>
      <c r="C25" s="11"/>
      <c r="D25" s="11"/>
      <c r="E25" s="11"/>
      <c r="F25" s="11"/>
      <c r="K25" s="19">
        <v>23</v>
      </c>
      <c r="L25" s="12"/>
      <c r="M25" s="12"/>
      <c r="N25" s="12"/>
      <c r="O25" s="12"/>
      <c r="P25" s="31"/>
    </row>
    <row r="26" spans="1:16" x14ac:dyDescent="0.35">
      <c r="A26" s="34"/>
      <c r="B26" s="19">
        <v>24</v>
      </c>
      <c r="C26" s="11"/>
      <c r="D26" s="11"/>
      <c r="E26" s="11"/>
      <c r="F26" s="11"/>
      <c r="K26" s="19">
        <v>24</v>
      </c>
      <c r="L26" s="12"/>
      <c r="M26" s="12"/>
      <c r="N26" s="12"/>
      <c r="O26" s="12"/>
      <c r="P26" s="31"/>
    </row>
    <row r="27" spans="1:16" x14ac:dyDescent="0.35">
      <c r="A27" s="34"/>
      <c r="B27" s="19">
        <v>25</v>
      </c>
      <c r="C27" s="11"/>
      <c r="D27" s="11"/>
      <c r="E27" s="11"/>
      <c r="F27" s="11"/>
      <c r="K27" s="19">
        <v>25</v>
      </c>
      <c r="L27" s="12"/>
      <c r="M27" s="12"/>
      <c r="N27" s="12"/>
      <c r="O27" s="12"/>
      <c r="P27" s="31"/>
    </row>
    <row r="28" spans="1:16" x14ac:dyDescent="0.35">
      <c r="A28" s="34"/>
      <c r="B28" s="19">
        <v>26</v>
      </c>
      <c r="C28" s="11"/>
      <c r="D28" s="11"/>
      <c r="E28" s="11"/>
      <c r="F28" s="11"/>
      <c r="K28" s="19">
        <v>26</v>
      </c>
      <c r="L28" s="12"/>
      <c r="M28" s="12"/>
      <c r="N28" s="12"/>
      <c r="O28" s="12"/>
      <c r="P28" s="31"/>
    </row>
    <row r="29" spans="1:16" x14ac:dyDescent="0.35">
      <c r="A29" s="34"/>
      <c r="B29" s="19">
        <v>27</v>
      </c>
      <c r="C29" s="11"/>
      <c r="D29" s="11"/>
      <c r="E29" s="11"/>
      <c r="F29" s="11"/>
      <c r="K29" s="19">
        <v>27</v>
      </c>
      <c r="L29" s="12"/>
      <c r="M29" s="12"/>
      <c r="N29" s="12"/>
      <c r="O29" s="12"/>
      <c r="P29" s="31"/>
    </row>
    <row r="30" spans="1:16" x14ac:dyDescent="0.35">
      <c r="A30" s="34"/>
      <c r="B30" s="19">
        <v>28</v>
      </c>
      <c r="C30" s="11"/>
      <c r="D30" s="11"/>
      <c r="E30" s="11"/>
      <c r="F30" s="11"/>
      <c r="K30" s="19">
        <v>28</v>
      </c>
      <c r="L30" s="12"/>
      <c r="M30" s="12"/>
      <c r="N30" s="12"/>
      <c r="O30" s="12"/>
      <c r="P30" s="31"/>
    </row>
    <row r="31" spans="1:16" x14ac:dyDescent="0.35">
      <c r="A31" s="34"/>
      <c r="B31" s="19">
        <v>29</v>
      </c>
      <c r="C31" s="11"/>
      <c r="D31" s="11"/>
      <c r="E31" s="11"/>
      <c r="F31" s="11"/>
      <c r="K31" s="19">
        <v>29</v>
      </c>
      <c r="L31" s="12"/>
      <c r="M31" s="12"/>
      <c r="N31" s="12"/>
      <c r="O31" s="12"/>
      <c r="P31" s="31"/>
    </row>
    <row r="32" spans="1:16" x14ac:dyDescent="0.35">
      <c r="A32" s="34"/>
      <c r="B32" s="19">
        <v>30</v>
      </c>
      <c r="C32" s="11"/>
      <c r="D32" s="11"/>
      <c r="E32" s="11"/>
      <c r="F32" s="11"/>
      <c r="K32" s="19">
        <v>30</v>
      </c>
      <c r="L32" s="12"/>
      <c r="M32" s="12"/>
      <c r="N32" s="12"/>
      <c r="O32" s="12"/>
      <c r="P32" s="31"/>
    </row>
    <row r="33" spans="1:16" x14ac:dyDescent="0.35">
      <c r="A33" s="34"/>
      <c r="B33" s="19">
        <v>31</v>
      </c>
      <c r="C33" s="11"/>
      <c r="D33" s="11"/>
      <c r="E33" s="11"/>
      <c r="F33" s="11"/>
      <c r="K33" s="19">
        <v>31</v>
      </c>
      <c r="L33" s="12"/>
      <c r="M33" s="12"/>
      <c r="N33" s="12"/>
      <c r="O33" s="12"/>
      <c r="P33" s="31"/>
    </row>
    <row r="34" spans="1:16" x14ac:dyDescent="0.35">
      <c r="A34" s="35"/>
      <c r="B34" s="19">
        <v>32</v>
      </c>
      <c r="C34" s="11"/>
      <c r="D34" s="11"/>
      <c r="E34" s="11"/>
      <c r="F34" s="11"/>
      <c r="K34" s="19">
        <v>32</v>
      </c>
      <c r="L34" s="12"/>
      <c r="M34" s="12"/>
      <c r="N34" s="12"/>
      <c r="O34" s="12"/>
      <c r="P34" s="31"/>
    </row>
    <row r="35" spans="1:16" x14ac:dyDescent="0.35">
      <c r="A35" s="4"/>
      <c r="D35" s="3"/>
      <c r="E35" s="3"/>
      <c r="F35" s="3"/>
      <c r="G35" s="3"/>
    </row>
    <row r="36" spans="1:16" x14ac:dyDescent="0.35">
      <c r="D36" s="3"/>
      <c r="E36" s="3"/>
      <c r="F36" s="3"/>
      <c r="G36" s="3"/>
    </row>
    <row r="37" spans="1:16" x14ac:dyDescent="0.35">
      <c r="D37" s="3"/>
      <c r="E37" s="3"/>
      <c r="F37" s="3"/>
      <c r="G37" s="3"/>
    </row>
    <row r="38" spans="1:16" x14ac:dyDescent="0.35">
      <c r="D38" s="3"/>
      <c r="E38" s="3"/>
      <c r="F38" s="3"/>
      <c r="G38" s="3"/>
    </row>
    <row r="39" spans="1:16" x14ac:dyDescent="0.35">
      <c r="D39" s="3"/>
      <c r="E39" s="3"/>
      <c r="F39" s="3"/>
      <c r="G39" s="3"/>
    </row>
    <row r="40" spans="1:16" x14ac:dyDescent="0.35">
      <c r="D40" s="3"/>
      <c r="E40" s="3"/>
      <c r="F40" s="3"/>
      <c r="G40" s="3"/>
    </row>
    <row r="41" spans="1:16" x14ac:dyDescent="0.35">
      <c r="D41" s="3"/>
      <c r="E41" s="3"/>
      <c r="F41" s="3"/>
      <c r="G41" s="3"/>
    </row>
    <row r="42" spans="1:16" x14ac:dyDescent="0.35">
      <c r="D42" s="3"/>
      <c r="E42" s="3"/>
      <c r="F42" s="3"/>
      <c r="G42" s="3"/>
    </row>
    <row r="43" spans="1:16" x14ac:dyDescent="0.35">
      <c r="D43" s="3"/>
      <c r="E43" s="3"/>
      <c r="F43" s="3"/>
      <c r="G43" s="3"/>
    </row>
    <row r="44" spans="1:16" x14ac:dyDescent="0.35">
      <c r="D44" s="3"/>
      <c r="E44" s="3"/>
      <c r="F44" s="3"/>
      <c r="G44" s="3"/>
    </row>
    <row r="45" spans="1:16" x14ac:dyDescent="0.35">
      <c r="D45" s="3"/>
      <c r="E45" s="3"/>
      <c r="F45" s="3"/>
      <c r="G45" s="3"/>
    </row>
    <row r="46" spans="1:16" x14ac:dyDescent="0.35">
      <c r="D46" s="3"/>
      <c r="E46" s="3"/>
      <c r="F46" s="3"/>
      <c r="G46" s="3"/>
    </row>
  </sheetData>
  <sortState xmlns:xlrd2="http://schemas.microsoft.com/office/spreadsheetml/2017/richdata2" ref="K3:P34">
    <sortCondition ref="K2"/>
  </sortState>
  <mergeCells count="3">
    <mergeCell ref="A3:A34"/>
    <mergeCell ref="K1:P1"/>
    <mergeCell ref="A1:C1"/>
  </mergeCells>
  <pageMargins left="0.70000000000000007" right="0.70000000000000007" top="1.1437007874015745" bottom="1.1437007874015745" header="0.74999999999999989" footer="0.74999999999999989"/>
  <pageSetup fitToWidth="0" fitToHeight="0"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partieSuivante">
                <anchor moveWithCells="1" sizeWithCells="1">
                  <from>
                    <xdr:col>16</xdr:col>
                    <xdr:colOff>311150</xdr:colOff>
                    <xdr:row>1</xdr:row>
                    <xdr:rowOff>6350</xdr:rowOff>
                  </from>
                  <to>
                    <xdr:col>18</xdr:col>
                    <xdr:colOff>419100</xdr:colOff>
                    <xdr:row>3</xdr:row>
                    <xdr:rowOff>12700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CDEC66-A396-442F-824B-1B7F4E162C97}">
  <sheetPr codeName="TableauDeBord"/>
  <dimension ref="A1:Q33"/>
  <sheetViews>
    <sheetView workbookViewId="0">
      <selection activeCell="N2" sqref="N2"/>
    </sheetView>
  </sheetViews>
  <sheetFormatPr baseColWidth="10" defaultRowHeight="14.5" x14ac:dyDescent="0.35"/>
  <cols>
    <col min="1" max="1" width="8.1796875" style="5" bestFit="1" customWidth="1"/>
    <col min="2" max="2" width="8.453125" style="5" customWidth="1"/>
    <col min="3" max="3" width="23.81640625" style="5" customWidth="1"/>
    <col min="4" max="11" width="6.7265625" style="5" customWidth="1"/>
    <col min="12" max="13" width="4.81640625" style="5" customWidth="1"/>
    <col min="14" max="17" width="8.08984375" style="5" customWidth="1"/>
    <col min="18" max="1029" width="10.54296875" style="5" customWidth="1"/>
    <col min="1030" max="16384" width="10.90625" style="5"/>
  </cols>
  <sheetData>
    <row r="1" spans="1:17" ht="57.75" customHeight="1" x14ac:dyDescent="0.35">
      <c r="A1" s="20" t="s">
        <v>8</v>
      </c>
      <c r="B1" s="21" t="s">
        <v>4</v>
      </c>
      <c r="C1" s="22" t="s">
        <v>5</v>
      </c>
      <c r="D1" s="20" t="s">
        <v>12</v>
      </c>
      <c r="E1" s="20" t="s">
        <v>11</v>
      </c>
      <c r="F1" s="20" t="s">
        <v>13</v>
      </c>
      <c r="G1" s="20" t="s">
        <v>14</v>
      </c>
      <c r="H1" s="20" t="s">
        <v>15</v>
      </c>
      <c r="I1" s="20" t="s">
        <v>16</v>
      </c>
      <c r="J1" s="20" t="s">
        <v>17</v>
      </c>
      <c r="K1" s="20" t="s">
        <v>18</v>
      </c>
      <c r="L1" s="23" t="s">
        <v>2</v>
      </c>
      <c r="M1" s="23" t="s">
        <v>3</v>
      </c>
      <c r="N1" s="20" t="s">
        <v>10</v>
      </c>
      <c r="O1" s="20" t="s">
        <v>7</v>
      </c>
      <c r="P1" s="20" t="s">
        <v>6</v>
      </c>
      <c r="Q1" s="24" t="s">
        <v>9</v>
      </c>
    </row>
    <row r="2" spans="1:17" x14ac:dyDescent="0.35">
      <c r="A2" s="10" t="str">
        <f>IF(TableauDeBord[[#This Row],[Parties Jouées]]&gt;=1,_xlfn.RANK.EQ(N2,$N$2:$N$33),"")</f>
        <v/>
      </c>
      <c r="B2" s="6">
        <v>1</v>
      </c>
      <c r="C2" s="7" t="str">
        <f>IF(ISBLANK( VLOOKUP(B2,Equipes!$A:$B,2)),"",VLOOKUP(B2,Equipes!$A:$B,2))</f>
        <v/>
      </c>
      <c r="D2" s="8">
        <f>VLOOKUP($B2,Rencontres!$K$2:$O$34,2)</f>
        <v>0</v>
      </c>
      <c r="E2" s="8">
        <f>IF(ISBLANK(Rencontres!C3),0,VLOOKUP(VLOOKUP($B2,Rencontres!$B$3:$C$34,2),Rencontres!$K$2:$O$34,2))</f>
        <v>0</v>
      </c>
      <c r="F2" s="8">
        <f>VLOOKUP($B2,Rencontres!$K$2:$O$34,3)</f>
        <v>0</v>
      </c>
      <c r="G2" s="8">
        <f>IF(ISBLANK(Rencontres!D3),0,VLOOKUP(VLOOKUP($B2,Rencontres!$B$3:$F$34,3),Rencontres!$K$2:$O$34,3))</f>
        <v>0</v>
      </c>
      <c r="H2" s="8">
        <f>VLOOKUP($B2,Rencontres!$K$2:$O$34,4)</f>
        <v>0</v>
      </c>
      <c r="I2" s="8">
        <f>IF(ISBLANK(Rencontres!E3),0,VLOOKUP(VLOOKUP($B2,Rencontres!$B$3:$F$34,4),Rencontres!$K$2:$O$34,4))</f>
        <v>0</v>
      </c>
      <c r="J2" s="8">
        <f>VLOOKUP($B2,Rencontres!$K$2:$O$34,5)</f>
        <v>0</v>
      </c>
      <c r="K2" s="8">
        <f>IF(ISBLANK(Rencontres!F3),0,VLOOKUP(VLOOKUP($B2,Rencontres!$B$3:$F$34,5),#REF!,5))</f>
        <v>0</v>
      </c>
      <c r="L2" s="8" t="str">
        <f>IF(TableauDeBord[[#This Row],[Parties Jouées]]&gt;=1,SUM(D2,F2,H2,J2),"")</f>
        <v/>
      </c>
      <c r="M2" s="8" t="str">
        <f>IF(TableauDeBord[[#This Row],[Parties Jouées]]&gt;=1,SUM(E2,G2,I2,K2),"")</f>
        <v/>
      </c>
      <c r="N2" s="10" t="str">
        <f>IF(TableauDeBord[[#This Row],[Parties Jouées]]&gt;=1,L2-TableauDeBord[[#This Row],[-]],"")</f>
        <v/>
      </c>
      <c r="O2" s="10">
        <f t="shared" ref="O2:O33" si="0">COUNTIF($D2:$K2,"=13")</f>
        <v>0</v>
      </c>
      <c r="P2" s="10">
        <f>COUNTIF(TableauDeBord[[#This Row],[1ere Partie Equipe A]],"=13")+COUNTIF(TableauDeBord[[#This Row],[2ème Partie Equipe A]],"=13")+COUNTIF(TableauDeBord[[#This Row],[3ème Partie Equipe A]],"=13")+COUNTIF(TableauDeBord[[#This Row],[4ème Partie Equipe A]],"=13")</f>
        <v>0</v>
      </c>
      <c r="Q2" s="9" t="str">
        <f>IF(TableauDeBord[[#This Row],[Parties Gagnéés]]&gt;0,SUM(P2*2.5),"")</f>
        <v/>
      </c>
    </row>
    <row r="3" spans="1:17" x14ac:dyDescent="0.35">
      <c r="A3" s="10" t="str">
        <f>IF(TableauDeBord[[#This Row],[Parties Jouées]]&gt;=1,_xlfn.RANK.EQ(N3,$N$2:$N$33),"")</f>
        <v/>
      </c>
      <c r="B3" s="6">
        <v>2</v>
      </c>
      <c r="C3" s="7" t="str">
        <f>IF(ISBLANK( VLOOKUP(B3,Equipes!$A:$B,2)),"",VLOOKUP(B3,Equipes!$A:$B,2))</f>
        <v/>
      </c>
      <c r="D3" s="8">
        <f>VLOOKUP($B3,Rencontres!$K$2:$O$34,2)</f>
        <v>0</v>
      </c>
      <c r="E3" s="8">
        <f>IF(ISBLANK(Rencontres!C4),0,VLOOKUP(VLOOKUP($B3,Rencontres!$B$3:$C$34,2),Rencontres!$K$2:$O$34,2))</f>
        <v>0</v>
      </c>
      <c r="F3" s="8">
        <f>VLOOKUP($B3,Rencontres!$K$2:$O$34,3)</f>
        <v>0</v>
      </c>
      <c r="G3" s="8">
        <f>IF(ISBLANK(Rencontres!D4),0,VLOOKUP(VLOOKUP($B3,Rencontres!$B$3:$F$34,3),Rencontres!$K$2:$O$34,3))</f>
        <v>0</v>
      </c>
      <c r="H3" s="8">
        <f>VLOOKUP($B3,Rencontres!$K$2:$O$34,4)</f>
        <v>0</v>
      </c>
      <c r="I3" s="8">
        <f>IF(ISBLANK(Rencontres!E4),0,VLOOKUP(VLOOKUP($B3,Rencontres!$B$3:$F$34,4),Rencontres!$K$2:$O$34,4))</f>
        <v>0</v>
      </c>
      <c r="J3" s="8">
        <f>VLOOKUP($B3,Rencontres!$K$2:$O$34,5)</f>
        <v>0</v>
      </c>
      <c r="K3" s="8">
        <f>IF(ISBLANK(Rencontres!F4),0,VLOOKUP(VLOOKUP($B3,Rencontres!$B$3:$F$34,5),#REF!,5))</f>
        <v>0</v>
      </c>
      <c r="L3" s="8" t="str">
        <f>IF(TableauDeBord[[#This Row],[Parties Jouées]]&gt;=1,SUM(D3,F3,H3,J3),"")</f>
        <v/>
      </c>
      <c r="M3" s="8" t="str">
        <f>IF(TableauDeBord[[#This Row],[Parties Jouées]]&gt;=1,SUM(E3,G3,I3,K3),"")</f>
        <v/>
      </c>
      <c r="N3" s="10" t="str">
        <f>IF(TableauDeBord[[#This Row],[Parties Jouées]]&gt;=1,L3-TableauDeBord[[#This Row],[-]],"")</f>
        <v/>
      </c>
      <c r="O3" s="10">
        <f t="shared" si="0"/>
        <v>0</v>
      </c>
      <c r="P3" s="10">
        <f>COUNTIF(TableauDeBord[[#This Row],[1ere Partie Equipe A]],"=13")+COUNTIF(TableauDeBord[[#This Row],[2ème Partie Equipe A]],"=13")+COUNTIF(TableauDeBord[[#This Row],[3ème Partie Equipe A]],"=13")+COUNTIF(TableauDeBord[[#This Row],[4ème Partie Equipe A]],"=13")</f>
        <v>0</v>
      </c>
      <c r="Q3" s="9" t="str">
        <f>IF(TableauDeBord[[#This Row],[Parties Gagnéés]]&gt;0,SUM(P3*2.5),"")</f>
        <v/>
      </c>
    </row>
    <row r="4" spans="1:17" x14ac:dyDescent="0.35">
      <c r="A4" s="10" t="str">
        <f>IF(TableauDeBord[[#This Row],[Parties Jouées]]&gt;=1,_xlfn.RANK.EQ(N4,$N$2:$N$33),"")</f>
        <v/>
      </c>
      <c r="B4" s="6">
        <v>3</v>
      </c>
      <c r="C4" s="7" t="str">
        <f>IF(ISBLANK( VLOOKUP(B4,Equipes!$A:$B,2)),"",VLOOKUP(B4,Equipes!$A:$B,2))</f>
        <v/>
      </c>
      <c r="D4" s="8">
        <f>VLOOKUP($B4,Rencontres!$K$2:$O$34,2)</f>
        <v>0</v>
      </c>
      <c r="E4" s="8">
        <f>IF(ISBLANK(Rencontres!C5),0,VLOOKUP(VLOOKUP($B4,Rencontres!$B$3:$C$34,2),Rencontres!$K$2:$O$34,2))</f>
        <v>0</v>
      </c>
      <c r="F4" s="8">
        <f>VLOOKUP($B4,Rencontres!$K$2:$O$34,3)</f>
        <v>0</v>
      </c>
      <c r="G4" s="8">
        <f>IF(ISBLANK(Rencontres!D5),0,VLOOKUP(VLOOKUP($B4,Rencontres!$B$3:$F$34,3),Rencontres!$K$2:$O$34,3))</f>
        <v>0</v>
      </c>
      <c r="H4" s="8">
        <f>VLOOKUP($B4,Rencontres!$K$2:$O$34,4)</f>
        <v>0</v>
      </c>
      <c r="I4" s="8">
        <f>IF(ISBLANK(Rencontres!E5),0,VLOOKUP(VLOOKUP($B4,Rencontres!$B$3:$F$34,4),Rencontres!$K$2:$O$34,4))</f>
        <v>0</v>
      </c>
      <c r="J4" s="8">
        <f>VLOOKUP($B4,Rencontres!$K$2:$O$34,5)</f>
        <v>0</v>
      </c>
      <c r="K4" s="8">
        <f>IF(ISBLANK(Rencontres!F5),0,VLOOKUP(VLOOKUP($B4,Rencontres!$B$3:$F$34,5),#REF!,5))</f>
        <v>0</v>
      </c>
      <c r="L4" s="8" t="str">
        <f>IF(TableauDeBord[[#This Row],[Parties Jouées]]&gt;=1,SUM(D4,F4,H4,J4),"")</f>
        <v/>
      </c>
      <c r="M4" s="8" t="str">
        <f>IF(TableauDeBord[[#This Row],[Parties Jouées]]&gt;=1,SUM(E4,G4,I4,K4),"")</f>
        <v/>
      </c>
      <c r="N4" s="10" t="str">
        <f>IF(TableauDeBord[[#This Row],[Parties Jouées]]&gt;=1,L4-TableauDeBord[[#This Row],[-]],"")</f>
        <v/>
      </c>
      <c r="O4" s="10">
        <f t="shared" si="0"/>
        <v>0</v>
      </c>
      <c r="P4" s="10">
        <f>COUNTIF(TableauDeBord[[#This Row],[1ere Partie Equipe A]],"=13")+COUNTIF(TableauDeBord[[#This Row],[2ème Partie Equipe A]],"=13")+COUNTIF(TableauDeBord[[#This Row],[3ème Partie Equipe A]],"=13")+COUNTIF(TableauDeBord[[#This Row],[4ème Partie Equipe A]],"=13")</f>
        <v>0</v>
      </c>
      <c r="Q4" s="9" t="str">
        <f>IF(TableauDeBord[[#This Row],[Parties Gagnéés]]&gt;0,SUM(P4*2.5),"")</f>
        <v/>
      </c>
    </row>
    <row r="5" spans="1:17" x14ac:dyDescent="0.35">
      <c r="A5" s="10" t="str">
        <f>IF(TableauDeBord[[#This Row],[Parties Jouées]]&gt;=1,_xlfn.RANK.EQ(N5,$N$2:$N$33),"")</f>
        <v/>
      </c>
      <c r="B5" s="6">
        <v>4</v>
      </c>
      <c r="C5" s="7" t="str">
        <f>IF(ISBLANK( VLOOKUP(B5,Equipes!$A:$B,2)),"",VLOOKUP(B5,Equipes!$A:$B,2))</f>
        <v/>
      </c>
      <c r="D5" s="8">
        <f>VLOOKUP($B5,Rencontres!$K$2:$O$34,2)</f>
        <v>0</v>
      </c>
      <c r="E5" s="8">
        <f>IF(ISBLANK(Rencontres!C6),0,VLOOKUP(VLOOKUP($B5,Rencontres!$B$3:$C$34,2),Rencontres!$K$2:$O$34,2))</f>
        <v>0</v>
      </c>
      <c r="F5" s="8">
        <f>VLOOKUP($B5,Rencontres!$K$2:$O$34,3)</f>
        <v>0</v>
      </c>
      <c r="G5" s="8">
        <f>IF(ISBLANK(Rencontres!D6),0,VLOOKUP(VLOOKUP($B5,Rencontres!$B$3:$F$34,3),Rencontres!$K$2:$O$34,3))</f>
        <v>0</v>
      </c>
      <c r="H5" s="8">
        <f>VLOOKUP($B5,Rencontres!$K$2:$O$34,4)</f>
        <v>0</v>
      </c>
      <c r="I5" s="8">
        <f>IF(ISBLANK(Rencontres!E6),0,VLOOKUP(VLOOKUP($B5,Rencontres!$B$3:$F$34,4),Rencontres!$K$2:$O$34,4))</f>
        <v>0</v>
      </c>
      <c r="J5" s="8">
        <f>VLOOKUP($B5,Rencontres!$K$2:$O$34,5)</f>
        <v>0</v>
      </c>
      <c r="K5" s="8">
        <f>IF(ISBLANK(Rencontres!F6),0,VLOOKUP(VLOOKUP($B5,Rencontres!$B$3:$F$34,5),#REF!,5))</f>
        <v>0</v>
      </c>
      <c r="L5" s="8" t="str">
        <f>IF(TableauDeBord[[#This Row],[Parties Jouées]]&gt;=1,SUM(D5,F5,H5,J5),"")</f>
        <v/>
      </c>
      <c r="M5" s="8" t="str">
        <f>IF(TableauDeBord[[#This Row],[Parties Jouées]]&gt;=1,SUM(E5,G5,I5,K5),"")</f>
        <v/>
      </c>
      <c r="N5" s="10" t="str">
        <f>IF(TableauDeBord[[#This Row],[Parties Jouées]]&gt;=1,L5-TableauDeBord[[#This Row],[-]],"")</f>
        <v/>
      </c>
      <c r="O5" s="10">
        <f t="shared" si="0"/>
        <v>0</v>
      </c>
      <c r="P5" s="10">
        <f>COUNTIF(TableauDeBord[[#This Row],[1ere Partie Equipe A]],"=13")+COUNTIF(TableauDeBord[[#This Row],[2ème Partie Equipe A]],"=13")+COUNTIF(TableauDeBord[[#This Row],[3ème Partie Equipe A]],"=13")+COUNTIF(TableauDeBord[[#This Row],[4ème Partie Equipe A]],"=13")</f>
        <v>0</v>
      </c>
      <c r="Q5" s="9" t="str">
        <f>IF(TableauDeBord[[#This Row],[Parties Gagnéés]]&gt;0,SUM(P5*2.5),"")</f>
        <v/>
      </c>
    </row>
    <row r="6" spans="1:17" x14ac:dyDescent="0.35">
      <c r="A6" s="10" t="str">
        <f>IF(TableauDeBord[[#This Row],[Parties Jouées]]&gt;=1,_xlfn.RANK.EQ(N6,$N$2:$N$33),"")</f>
        <v/>
      </c>
      <c r="B6" s="6">
        <v>5</v>
      </c>
      <c r="C6" s="7" t="str">
        <f>IF(ISBLANK( VLOOKUP(B6,Equipes!$A:$B,2)),"",VLOOKUP(B6,Equipes!$A:$B,2))</f>
        <v/>
      </c>
      <c r="D6" s="8">
        <f>VLOOKUP($B6,Rencontres!$K$2:$O$34,2)</f>
        <v>0</v>
      </c>
      <c r="E6" s="8">
        <f>IF(ISBLANK(Rencontres!C7),0,VLOOKUP(VLOOKUP($B6,Rencontres!$B$3:$C$34,2),Rencontres!$K$2:$O$34,2))</f>
        <v>0</v>
      </c>
      <c r="F6" s="8">
        <f>VLOOKUP($B6,Rencontres!$K$2:$O$34,3)</f>
        <v>0</v>
      </c>
      <c r="G6" s="8">
        <f>IF(ISBLANK(Rencontres!D7),0,VLOOKUP(VLOOKUP($B6,Rencontres!$B$3:$F$34,3),Rencontres!$K$2:$O$34,3))</f>
        <v>0</v>
      </c>
      <c r="H6" s="8">
        <f>VLOOKUP($B6,Rencontres!$K$2:$O$34,4)</f>
        <v>0</v>
      </c>
      <c r="I6" s="8">
        <f>IF(ISBLANK(Rencontres!E7),0,VLOOKUP(VLOOKUP($B6,Rencontres!$B$3:$F$34,4),Rencontres!$K$2:$O$34,4))</f>
        <v>0</v>
      </c>
      <c r="J6" s="8">
        <f>VLOOKUP($B6,Rencontres!$K$2:$O$34,5)</f>
        <v>0</v>
      </c>
      <c r="K6" s="8">
        <f>IF(ISBLANK(Rencontres!F7),0,VLOOKUP(VLOOKUP($B6,Rencontres!$B$3:$F$34,5),#REF!,5))</f>
        <v>0</v>
      </c>
      <c r="L6" s="8" t="str">
        <f>IF(TableauDeBord[[#This Row],[Parties Jouées]]&gt;=1,SUM(D6,F6,H6,J6),"")</f>
        <v/>
      </c>
      <c r="M6" s="8" t="str">
        <f>IF(TableauDeBord[[#This Row],[Parties Jouées]]&gt;=1,SUM(E6,G6,I6,K6),"")</f>
        <v/>
      </c>
      <c r="N6" s="10" t="str">
        <f>IF(TableauDeBord[[#This Row],[Parties Jouées]]&gt;=1,L6-TableauDeBord[[#This Row],[-]],"")</f>
        <v/>
      </c>
      <c r="O6" s="10">
        <f t="shared" si="0"/>
        <v>0</v>
      </c>
      <c r="P6" s="10">
        <f>COUNTIF(TableauDeBord[[#This Row],[1ere Partie Equipe A]],"=13")+COUNTIF(TableauDeBord[[#This Row],[2ème Partie Equipe A]],"=13")+COUNTIF(TableauDeBord[[#This Row],[3ème Partie Equipe A]],"=13")+COUNTIF(TableauDeBord[[#This Row],[4ème Partie Equipe A]],"=13")</f>
        <v>0</v>
      </c>
      <c r="Q6" s="9" t="str">
        <f>IF(TableauDeBord[[#This Row],[Parties Gagnéés]]&gt;0,SUM(P6*2.5),"")</f>
        <v/>
      </c>
    </row>
    <row r="7" spans="1:17" x14ac:dyDescent="0.35">
      <c r="A7" s="10" t="str">
        <f>IF(TableauDeBord[[#This Row],[Parties Jouées]]&gt;=1,_xlfn.RANK.EQ(N7,$N$2:$N$33),"")</f>
        <v/>
      </c>
      <c r="B7" s="6">
        <v>6</v>
      </c>
      <c r="C7" s="7" t="str">
        <f>IF(ISBLANK( VLOOKUP(B7,Equipes!$A:$B,2)),"",VLOOKUP(B7,Equipes!$A:$B,2))</f>
        <v/>
      </c>
      <c r="D7" s="8">
        <f>VLOOKUP($B7,Rencontres!$K$2:$O$34,2)</f>
        <v>0</v>
      </c>
      <c r="E7" s="8">
        <f>IF(ISBLANK(Rencontres!C8),0,VLOOKUP(VLOOKUP($B7,Rencontres!$B$3:$C$34,2),Rencontres!$K$2:$O$34,2))</f>
        <v>0</v>
      </c>
      <c r="F7" s="8">
        <f>VLOOKUP($B7,Rencontres!$K$2:$O$34,3)</f>
        <v>0</v>
      </c>
      <c r="G7" s="8">
        <f>IF(ISBLANK(Rencontres!D8),0,VLOOKUP(VLOOKUP($B7,Rencontres!$B$3:$F$34,3),Rencontres!$K$2:$O$34,3))</f>
        <v>0</v>
      </c>
      <c r="H7" s="8">
        <f>VLOOKUP($B7,Rencontres!$K$2:$O$34,4)</f>
        <v>0</v>
      </c>
      <c r="I7" s="8">
        <f>IF(ISBLANK(Rencontres!E8),0,VLOOKUP(VLOOKUP($B7,Rencontres!$B$3:$F$34,4),Rencontres!$K$2:$O$34,4))</f>
        <v>0</v>
      </c>
      <c r="J7" s="8">
        <f>VLOOKUP($B7,Rencontres!$K$2:$O$34,5)</f>
        <v>0</v>
      </c>
      <c r="K7" s="8">
        <f>IF(ISBLANK(Rencontres!F8),0,VLOOKUP(VLOOKUP($B7,Rencontres!$B$3:$F$34,5),#REF!,5))</f>
        <v>0</v>
      </c>
      <c r="L7" s="8" t="str">
        <f>IF(TableauDeBord[[#This Row],[Parties Jouées]]&gt;=1,SUM(D7,F7,H7,J7),"")</f>
        <v/>
      </c>
      <c r="M7" s="8" t="str">
        <f>IF(TableauDeBord[[#This Row],[Parties Jouées]]&gt;=1,SUM(E7,G7,I7,K7),"")</f>
        <v/>
      </c>
      <c r="N7" s="10" t="str">
        <f>IF(TableauDeBord[[#This Row],[Parties Jouées]]&gt;=1,L7-TableauDeBord[[#This Row],[-]],"")</f>
        <v/>
      </c>
      <c r="O7" s="10">
        <f t="shared" si="0"/>
        <v>0</v>
      </c>
      <c r="P7" s="10">
        <f>COUNTIF(TableauDeBord[[#This Row],[1ere Partie Equipe A]],"=13")+COUNTIF(TableauDeBord[[#This Row],[2ème Partie Equipe A]],"=13")+COUNTIF(TableauDeBord[[#This Row],[3ème Partie Equipe A]],"=13")+COUNTIF(TableauDeBord[[#This Row],[4ème Partie Equipe A]],"=13")</f>
        <v>0</v>
      </c>
      <c r="Q7" s="9" t="str">
        <f>IF(TableauDeBord[[#This Row],[Parties Gagnéés]]&gt;0,SUM(P7*2.5),"")</f>
        <v/>
      </c>
    </row>
    <row r="8" spans="1:17" x14ac:dyDescent="0.35">
      <c r="A8" s="10" t="str">
        <f>IF(TableauDeBord[[#This Row],[Parties Jouées]]&gt;=1,_xlfn.RANK.EQ(N8,$N$2:$N$33),"")</f>
        <v/>
      </c>
      <c r="B8" s="6">
        <v>7</v>
      </c>
      <c r="C8" s="7" t="str">
        <f>IF(ISBLANK( VLOOKUP(B8,Equipes!$A:$B,2)),"",VLOOKUP(B8,Equipes!$A:$B,2))</f>
        <v/>
      </c>
      <c r="D8" s="8">
        <f>VLOOKUP($B8,Rencontres!$K$2:$O$34,2)</f>
        <v>0</v>
      </c>
      <c r="E8" s="8">
        <f>IF(ISBLANK(Rencontres!C9),0,VLOOKUP(VLOOKUP($B8,Rencontres!$B$3:$C$34,2),Rencontres!$K$2:$O$34,2))</f>
        <v>0</v>
      </c>
      <c r="F8" s="8">
        <f>VLOOKUP($B8,Rencontres!$K$2:$O$34,3)</f>
        <v>0</v>
      </c>
      <c r="G8" s="8">
        <f>IF(ISBLANK(Rencontres!D9),0,VLOOKUP(VLOOKUP($B8,Rencontres!$B$3:$F$34,3),Rencontres!$K$2:$O$34,3))</f>
        <v>0</v>
      </c>
      <c r="H8" s="8">
        <f>VLOOKUP($B8,Rencontres!$K$2:$O$34,4)</f>
        <v>0</v>
      </c>
      <c r="I8" s="8">
        <f>IF(ISBLANK(Rencontres!E9),0,VLOOKUP(VLOOKUP($B8,Rencontres!$B$3:$F$34,4),Rencontres!$K$2:$O$34,4))</f>
        <v>0</v>
      </c>
      <c r="J8" s="8">
        <f>VLOOKUP($B8,Rencontres!$K$2:$O$34,5)</f>
        <v>0</v>
      </c>
      <c r="K8" s="8">
        <f>IF(ISBLANK(Rencontres!F9),0,VLOOKUP(VLOOKUP($B8,Rencontres!$B$3:$F$34,5),#REF!,5))</f>
        <v>0</v>
      </c>
      <c r="L8" s="8" t="str">
        <f>IF(TableauDeBord[[#This Row],[Parties Jouées]]&gt;=1,SUM(D8,F8,H8,J8),"")</f>
        <v/>
      </c>
      <c r="M8" s="8" t="str">
        <f>IF(TableauDeBord[[#This Row],[Parties Jouées]]&gt;=1,SUM(E8,G8,I8,K8),"")</f>
        <v/>
      </c>
      <c r="N8" s="10" t="str">
        <f>IF(TableauDeBord[[#This Row],[Parties Jouées]]&gt;=1,L8-TableauDeBord[[#This Row],[-]],"")</f>
        <v/>
      </c>
      <c r="O8" s="10">
        <f t="shared" si="0"/>
        <v>0</v>
      </c>
      <c r="P8" s="10">
        <f>COUNTIF(TableauDeBord[[#This Row],[1ere Partie Equipe A]],"=13")+COUNTIF(TableauDeBord[[#This Row],[2ème Partie Equipe A]],"=13")+COUNTIF(TableauDeBord[[#This Row],[3ème Partie Equipe A]],"=13")+COUNTIF(TableauDeBord[[#This Row],[4ème Partie Equipe A]],"=13")</f>
        <v>0</v>
      </c>
      <c r="Q8" s="9" t="str">
        <f>IF(TableauDeBord[[#This Row],[Parties Gagnéés]]&gt;0,SUM(P8*2.5),"")</f>
        <v/>
      </c>
    </row>
    <row r="9" spans="1:17" x14ac:dyDescent="0.35">
      <c r="A9" s="10" t="str">
        <f>IF(TableauDeBord[[#This Row],[Parties Jouées]]&gt;=1,_xlfn.RANK.EQ(N9,$N$2:$N$33),"")</f>
        <v/>
      </c>
      <c r="B9" s="6">
        <v>8</v>
      </c>
      <c r="C9" s="7" t="str">
        <f>IF(ISBLANK( VLOOKUP(B9,Equipes!$A:$B,2)),"",VLOOKUP(B9,Equipes!$A:$B,2))</f>
        <v/>
      </c>
      <c r="D9" s="8">
        <f>VLOOKUP($B9,Rencontres!$K$2:$O$34,2)</f>
        <v>0</v>
      </c>
      <c r="E9" s="8">
        <f>IF(ISBLANK(Rencontres!C10),0,VLOOKUP(VLOOKUP($B9,Rencontres!$B$3:$C$34,2),Rencontres!$K$2:$O$34,2))</f>
        <v>0</v>
      </c>
      <c r="F9" s="8">
        <f>VLOOKUP($B9,Rencontres!$K$2:$O$34,3)</f>
        <v>0</v>
      </c>
      <c r="G9" s="8">
        <f>IF(ISBLANK(Rencontres!D10),0,VLOOKUP(VLOOKUP($B9,Rencontres!$B$3:$F$34,3),Rencontres!$K$2:$O$34,3))</f>
        <v>0</v>
      </c>
      <c r="H9" s="8">
        <f>VLOOKUP($B9,Rencontres!$K$2:$O$34,4)</f>
        <v>0</v>
      </c>
      <c r="I9" s="8">
        <f>IF(ISBLANK(Rencontres!E10),0,VLOOKUP(VLOOKUP($B9,Rencontres!$B$3:$F$34,4),Rencontres!$K$2:$O$34,4))</f>
        <v>0</v>
      </c>
      <c r="J9" s="8">
        <f>VLOOKUP($B9,Rencontres!$K$2:$O$34,5)</f>
        <v>0</v>
      </c>
      <c r="K9" s="8">
        <f>IF(ISBLANK(Rencontres!F10),0,VLOOKUP(VLOOKUP($B9,Rencontres!$B$3:$F$34,5),#REF!,5))</f>
        <v>0</v>
      </c>
      <c r="L9" s="8" t="str">
        <f>IF(TableauDeBord[[#This Row],[Parties Jouées]]&gt;=1,SUM(D9,F9,H9,J9),"")</f>
        <v/>
      </c>
      <c r="M9" s="8" t="str">
        <f>IF(TableauDeBord[[#This Row],[Parties Jouées]]&gt;=1,SUM(E9,G9,I9,K9),"")</f>
        <v/>
      </c>
      <c r="N9" s="10" t="str">
        <f>IF(TableauDeBord[[#This Row],[Parties Jouées]]&gt;=1,L9-TableauDeBord[[#This Row],[-]],"")</f>
        <v/>
      </c>
      <c r="O9" s="10">
        <f t="shared" si="0"/>
        <v>0</v>
      </c>
      <c r="P9" s="10">
        <f>COUNTIF(TableauDeBord[[#This Row],[1ere Partie Equipe A]],"=13")+COUNTIF(TableauDeBord[[#This Row],[2ème Partie Equipe A]],"=13")+COUNTIF(TableauDeBord[[#This Row],[3ème Partie Equipe A]],"=13")+COUNTIF(TableauDeBord[[#This Row],[4ème Partie Equipe A]],"=13")</f>
        <v>0</v>
      </c>
      <c r="Q9" s="9" t="str">
        <f>IF(TableauDeBord[[#This Row],[Parties Gagnéés]]&gt;0,SUM(P9*2.5),"")</f>
        <v/>
      </c>
    </row>
    <row r="10" spans="1:17" x14ac:dyDescent="0.35">
      <c r="A10" s="10" t="str">
        <f>IF(TableauDeBord[[#This Row],[Parties Jouées]]&gt;=1,_xlfn.RANK.EQ(N10,$N$2:$N$33),"")</f>
        <v/>
      </c>
      <c r="B10" s="6">
        <v>9</v>
      </c>
      <c r="C10" s="7" t="str">
        <f>IF(ISBLANK( VLOOKUP(B10,Equipes!$A:$B,2)),"",VLOOKUP(B10,Equipes!$A:$B,2))</f>
        <v/>
      </c>
      <c r="D10" s="8">
        <f>VLOOKUP($B10,Rencontres!$K$2:$O$34,2)</f>
        <v>0</v>
      </c>
      <c r="E10" s="8">
        <f>IF(ISBLANK(Rencontres!C11),0,VLOOKUP(VLOOKUP($B10,Rencontres!$B$3:$C$34,2),Rencontres!$K$2:$O$34,2))</f>
        <v>0</v>
      </c>
      <c r="F10" s="8">
        <f>VLOOKUP($B10,Rencontres!$K$2:$O$34,3)</f>
        <v>0</v>
      </c>
      <c r="G10" s="8">
        <f>IF(ISBLANK(Rencontres!D11),0,VLOOKUP(VLOOKUP($B10,Rencontres!$B$3:$F$34,3),Rencontres!$K$2:$O$34,3))</f>
        <v>0</v>
      </c>
      <c r="H10" s="8">
        <f>VLOOKUP($B10,Rencontres!$K$2:$O$34,4)</f>
        <v>0</v>
      </c>
      <c r="I10" s="8">
        <f>IF(ISBLANK(Rencontres!E11),0,VLOOKUP(VLOOKUP($B10,Rencontres!$B$3:$F$34,4),Rencontres!$K$2:$O$34,4))</f>
        <v>0</v>
      </c>
      <c r="J10" s="8">
        <f>VLOOKUP($B10,Rencontres!$K$2:$O$34,5)</f>
        <v>0</v>
      </c>
      <c r="K10" s="8">
        <f>IF(ISBLANK(Rencontres!F11),0,VLOOKUP(VLOOKUP($B10,Rencontres!$B$3:$F$34,5),#REF!,5))</f>
        <v>0</v>
      </c>
      <c r="L10" s="8" t="str">
        <f>IF(TableauDeBord[[#This Row],[Parties Jouées]]&gt;=1,SUM(D10,F10,H10,J10),"")</f>
        <v/>
      </c>
      <c r="M10" s="8" t="str">
        <f>IF(TableauDeBord[[#This Row],[Parties Jouées]]&gt;=1,SUM(E10,G10,I10,K10),"")</f>
        <v/>
      </c>
      <c r="N10" s="10" t="str">
        <f>IF(TableauDeBord[[#This Row],[Parties Jouées]]&gt;=1,L10-TableauDeBord[[#This Row],[-]],"")</f>
        <v/>
      </c>
      <c r="O10" s="10">
        <f t="shared" si="0"/>
        <v>0</v>
      </c>
      <c r="P10" s="10">
        <f>COUNTIF(TableauDeBord[[#This Row],[1ere Partie Equipe A]],"=13")+COUNTIF(TableauDeBord[[#This Row],[2ème Partie Equipe A]],"=13")+COUNTIF(TableauDeBord[[#This Row],[3ème Partie Equipe A]],"=13")+COUNTIF(TableauDeBord[[#This Row],[4ème Partie Equipe A]],"=13")</f>
        <v>0</v>
      </c>
      <c r="Q10" s="9" t="str">
        <f>IF(TableauDeBord[[#This Row],[Parties Gagnéés]]&gt;0,SUM(P10*2.5),"")</f>
        <v/>
      </c>
    </row>
    <row r="11" spans="1:17" x14ac:dyDescent="0.35">
      <c r="A11" s="10" t="str">
        <f>IF(TableauDeBord[[#This Row],[Parties Jouées]]&gt;=1,_xlfn.RANK.EQ(N11,$N$2:$N$33),"")</f>
        <v/>
      </c>
      <c r="B11" s="6">
        <v>10</v>
      </c>
      <c r="C11" s="7" t="str">
        <f>IF(ISBLANK( VLOOKUP(B11,Equipes!$A:$B,2)),"",VLOOKUP(B11,Equipes!$A:$B,2))</f>
        <v/>
      </c>
      <c r="D11" s="8">
        <f>VLOOKUP($B11,Rencontres!$K$2:$O$34,2)</f>
        <v>0</v>
      </c>
      <c r="E11" s="8">
        <f>IF(ISBLANK(Rencontres!C12),0,VLOOKUP(VLOOKUP($B11,Rencontres!$B$3:$C$34,2),Rencontres!$K$2:$O$34,2))</f>
        <v>0</v>
      </c>
      <c r="F11" s="8">
        <f>VLOOKUP($B11,Rencontres!$K$2:$O$34,3)</f>
        <v>0</v>
      </c>
      <c r="G11" s="8">
        <f>IF(ISBLANK(Rencontres!D12),0,VLOOKUP(VLOOKUP($B11,Rencontres!$B$3:$F$34,3),Rencontres!$K$2:$O$34,3))</f>
        <v>0</v>
      </c>
      <c r="H11" s="8">
        <f>VLOOKUP($B11,Rencontres!$K$2:$O$34,4)</f>
        <v>0</v>
      </c>
      <c r="I11" s="8">
        <f>IF(ISBLANK(Rencontres!E12),0,VLOOKUP(VLOOKUP($B11,Rencontres!$B$3:$F$34,4),Rencontres!$K$2:$O$34,4))</f>
        <v>0</v>
      </c>
      <c r="J11" s="8">
        <f>VLOOKUP($B11,Rencontres!$K$2:$O$34,5)</f>
        <v>0</v>
      </c>
      <c r="K11" s="8">
        <f>IF(ISBLANK(Rencontres!F12),0,VLOOKUP(VLOOKUP($B11,Rencontres!$B$3:$F$34,5),#REF!,5))</f>
        <v>0</v>
      </c>
      <c r="L11" s="8" t="str">
        <f>IF(TableauDeBord[[#This Row],[Parties Jouées]]&gt;=1,SUM(D11,F11,H11,J11),"")</f>
        <v/>
      </c>
      <c r="M11" s="8" t="str">
        <f>IF(TableauDeBord[[#This Row],[Parties Jouées]]&gt;=1,SUM(E11,G11,I11,K11),"")</f>
        <v/>
      </c>
      <c r="N11" s="10" t="str">
        <f>IF(TableauDeBord[[#This Row],[Parties Jouées]]&gt;=1,L11-TableauDeBord[[#This Row],[-]],"")</f>
        <v/>
      </c>
      <c r="O11" s="10">
        <f t="shared" si="0"/>
        <v>0</v>
      </c>
      <c r="P11" s="10">
        <f>COUNTIF(TableauDeBord[[#This Row],[1ere Partie Equipe A]],"=13")+COUNTIF(TableauDeBord[[#This Row],[2ème Partie Equipe A]],"=13")+COUNTIF(TableauDeBord[[#This Row],[3ème Partie Equipe A]],"=13")+COUNTIF(TableauDeBord[[#This Row],[4ème Partie Equipe A]],"=13")</f>
        <v>0</v>
      </c>
      <c r="Q11" s="9" t="str">
        <f>IF(TableauDeBord[[#This Row],[Parties Gagnéés]]&gt;0,SUM(P11*2.5),"")</f>
        <v/>
      </c>
    </row>
    <row r="12" spans="1:17" x14ac:dyDescent="0.35">
      <c r="A12" s="10" t="str">
        <f>IF(TableauDeBord[[#This Row],[Parties Jouées]]&gt;=1,_xlfn.RANK.EQ(N12,$N$2:$N$33),"")</f>
        <v/>
      </c>
      <c r="B12" s="6">
        <v>11</v>
      </c>
      <c r="C12" s="7" t="str">
        <f>IF(ISBLANK( VLOOKUP(B12,Equipes!$A:$B,2)),"",VLOOKUP(B12,Equipes!$A:$B,2))</f>
        <v/>
      </c>
      <c r="D12" s="8">
        <f>VLOOKUP($B12,Rencontres!$K$2:$O$34,2)</f>
        <v>0</v>
      </c>
      <c r="E12" s="8">
        <f>IF(ISBLANK(Rencontres!C13),0,VLOOKUP(VLOOKUP($B12,Rencontres!$B$3:$C$34,2),Rencontres!$K$2:$O$34,2))</f>
        <v>0</v>
      </c>
      <c r="F12" s="8">
        <f>VLOOKUP($B12,Rencontres!$K$2:$O$34,3)</f>
        <v>0</v>
      </c>
      <c r="G12" s="8">
        <f>IF(ISBLANK(Rencontres!D13),0,VLOOKUP(VLOOKUP($B12,Rencontres!$B$3:$F$34,3),Rencontres!$K$2:$O$34,3))</f>
        <v>0</v>
      </c>
      <c r="H12" s="8">
        <f>VLOOKUP($B12,Rencontres!$K$2:$O$34,4)</f>
        <v>0</v>
      </c>
      <c r="I12" s="8">
        <f>IF(ISBLANK(Rencontres!E13),0,VLOOKUP(VLOOKUP($B12,Rencontres!$B$3:$F$34,4),Rencontres!$K$2:$O$34,4))</f>
        <v>0</v>
      </c>
      <c r="J12" s="8">
        <f>VLOOKUP($B12,Rencontres!$K$2:$O$34,5)</f>
        <v>0</v>
      </c>
      <c r="K12" s="8">
        <f>IF(ISBLANK(Rencontres!F13),0,VLOOKUP(VLOOKUP($B12,Rencontres!$B$3:$F$34,5),#REF!,5))</f>
        <v>0</v>
      </c>
      <c r="L12" s="8" t="str">
        <f>IF(TableauDeBord[[#This Row],[Parties Jouées]]&gt;=1,SUM(D12,F12,H12,J12),"")</f>
        <v/>
      </c>
      <c r="M12" s="8" t="str">
        <f>IF(TableauDeBord[[#This Row],[Parties Jouées]]&gt;=1,SUM(E12,G12,I12,K12),"")</f>
        <v/>
      </c>
      <c r="N12" s="10" t="str">
        <f>IF(TableauDeBord[[#This Row],[Parties Jouées]]&gt;=1,L12-TableauDeBord[[#This Row],[-]],"")</f>
        <v/>
      </c>
      <c r="O12" s="10">
        <f t="shared" si="0"/>
        <v>0</v>
      </c>
      <c r="P12" s="10">
        <f>COUNTIF(TableauDeBord[[#This Row],[1ere Partie Equipe A]],"=13")+COUNTIF(TableauDeBord[[#This Row],[2ème Partie Equipe A]],"=13")+COUNTIF(TableauDeBord[[#This Row],[3ème Partie Equipe A]],"=13")+COUNTIF(TableauDeBord[[#This Row],[4ème Partie Equipe A]],"=13")</f>
        <v>0</v>
      </c>
      <c r="Q12" s="9" t="str">
        <f>IF(TableauDeBord[[#This Row],[Parties Gagnéés]]&gt;0,SUM(P12*2.5),"")</f>
        <v/>
      </c>
    </row>
    <row r="13" spans="1:17" x14ac:dyDescent="0.35">
      <c r="A13" s="10" t="str">
        <f>IF(TableauDeBord[[#This Row],[Parties Jouées]]&gt;=1,_xlfn.RANK.EQ(N13,$N$2:$N$33),"")</f>
        <v/>
      </c>
      <c r="B13" s="6">
        <v>12</v>
      </c>
      <c r="C13" s="7" t="str">
        <f>IF(ISBLANK( VLOOKUP(B13,Equipes!$A:$B,2)),"",VLOOKUP(B13,Equipes!$A:$B,2))</f>
        <v/>
      </c>
      <c r="D13" s="8">
        <f>VLOOKUP($B13,Rencontres!$K$2:$O$34,2)</f>
        <v>0</v>
      </c>
      <c r="E13" s="8">
        <f>IF(ISBLANK(Rencontres!C14),0,VLOOKUP(VLOOKUP($B13,Rencontres!$B$3:$C$34,2),Rencontres!$K$2:$O$34,2))</f>
        <v>0</v>
      </c>
      <c r="F13" s="8">
        <f>VLOOKUP($B13,Rencontres!$K$2:$O$34,3)</f>
        <v>0</v>
      </c>
      <c r="G13" s="8">
        <f>IF(ISBLANK(Rencontres!D14),0,VLOOKUP(VLOOKUP($B13,Rencontres!$B$3:$F$34,3),Rencontres!$K$2:$O$34,3))</f>
        <v>0</v>
      </c>
      <c r="H13" s="8">
        <f>VLOOKUP($B13,Rencontres!$K$2:$O$34,4)</f>
        <v>0</v>
      </c>
      <c r="I13" s="8">
        <f>IF(ISBLANK(Rencontres!E14),0,VLOOKUP(VLOOKUP($B13,Rencontres!$B$3:$F$34,4),Rencontres!$K$2:$O$34,4))</f>
        <v>0</v>
      </c>
      <c r="J13" s="8">
        <f>VLOOKUP($B13,Rencontres!$K$2:$O$34,5)</f>
        <v>0</v>
      </c>
      <c r="K13" s="8">
        <f>IF(ISBLANK(Rencontres!F14),0,VLOOKUP(VLOOKUP($B13,Rencontres!$B$3:$F$34,5),#REF!,5))</f>
        <v>0</v>
      </c>
      <c r="L13" s="8" t="str">
        <f>IF(TableauDeBord[[#This Row],[Parties Jouées]]&gt;=1,SUM(D13,F13,H13,J13),"")</f>
        <v/>
      </c>
      <c r="M13" s="8" t="str">
        <f>IF(TableauDeBord[[#This Row],[Parties Jouées]]&gt;=1,SUM(E13,G13,I13,K13),"")</f>
        <v/>
      </c>
      <c r="N13" s="10" t="str">
        <f>IF(TableauDeBord[[#This Row],[Parties Jouées]]&gt;=1,L13-TableauDeBord[[#This Row],[-]],"")</f>
        <v/>
      </c>
      <c r="O13" s="10">
        <f t="shared" si="0"/>
        <v>0</v>
      </c>
      <c r="P13" s="10">
        <f>COUNTIF(TableauDeBord[[#This Row],[1ere Partie Equipe A]],"=13")+COUNTIF(TableauDeBord[[#This Row],[2ème Partie Equipe A]],"=13")+COUNTIF(TableauDeBord[[#This Row],[3ème Partie Equipe A]],"=13")+COUNTIF(TableauDeBord[[#This Row],[4ème Partie Equipe A]],"=13")</f>
        <v>0</v>
      </c>
      <c r="Q13" s="9" t="str">
        <f>IF(TableauDeBord[[#This Row],[Parties Gagnéés]]&gt;0,SUM(P13*2.5),"")</f>
        <v/>
      </c>
    </row>
    <row r="14" spans="1:17" x14ac:dyDescent="0.35">
      <c r="A14" s="10" t="str">
        <f>IF(TableauDeBord[[#This Row],[Parties Jouées]]&gt;=1,_xlfn.RANK.EQ(N14,$N$2:$N$33),"")</f>
        <v/>
      </c>
      <c r="B14" s="6">
        <v>13</v>
      </c>
      <c r="C14" s="7" t="str">
        <f>IF(ISBLANK( VLOOKUP(B14,Equipes!$A:$B,2)),"",VLOOKUP(B14,Equipes!$A:$B,2))</f>
        <v/>
      </c>
      <c r="D14" s="8">
        <f>VLOOKUP($B14,Rencontres!$K$2:$O$34,2)</f>
        <v>0</v>
      </c>
      <c r="E14" s="8">
        <f>IF(ISBLANK(Rencontres!C15),0,VLOOKUP(VLOOKUP($B14,Rencontres!$B$3:$C$34,2),Rencontres!$K$2:$O$34,2))</f>
        <v>0</v>
      </c>
      <c r="F14" s="8">
        <f>VLOOKUP($B14,Rencontres!$K$2:$O$34,3)</f>
        <v>0</v>
      </c>
      <c r="G14" s="8">
        <f>IF(ISBLANK(Rencontres!D15),0,VLOOKUP(VLOOKUP($B14,Rencontres!$B$3:$F$34,3),Rencontres!$K$2:$O$34,3))</f>
        <v>0</v>
      </c>
      <c r="H14" s="8">
        <f>VLOOKUP($B14,Rencontres!$K$2:$O$34,4)</f>
        <v>0</v>
      </c>
      <c r="I14" s="8">
        <f>IF(ISBLANK(Rencontres!E15),0,VLOOKUP(VLOOKUP($B14,Rencontres!$B$3:$F$34,4),Rencontres!$K$2:$O$34,4))</f>
        <v>0</v>
      </c>
      <c r="J14" s="8">
        <f>VLOOKUP($B14,Rencontres!$K$2:$O$34,5)</f>
        <v>0</v>
      </c>
      <c r="K14" s="8">
        <f>IF(ISBLANK(Rencontres!F15),0,VLOOKUP(VLOOKUP($B14,Rencontres!$B$3:$F$34,5),#REF!,5))</f>
        <v>0</v>
      </c>
      <c r="L14" s="8" t="str">
        <f>IF(TableauDeBord[[#This Row],[Parties Jouées]]&gt;=1,SUM(D14,F14,H14,J14),"")</f>
        <v/>
      </c>
      <c r="M14" s="8" t="str">
        <f>IF(TableauDeBord[[#This Row],[Parties Jouées]]&gt;=1,SUM(E14,G14,I14,K14),"")</f>
        <v/>
      </c>
      <c r="N14" s="10" t="str">
        <f>IF(TableauDeBord[[#This Row],[Parties Jouées]]&gt;=1,L14-TableauDeBord[[#This Row],[-]],"")</f>
        <v/>
      </c>
      <c r="O14" s="10">
        <f t="shared" si="0"/>
        <v>0</v>
      </c>
      <c r="P14" s="10">
        <f>COUNTIF(TableauDeBord[[#This Row],[1ere Partie Equipe A]],"=13")+COUNTIF(TableauDeBord[[#This Row],[2ème Partie Equipe A]],"=13")+COUNTIF(TableauDeBord[[#This Row],[3ème Partie Equipe A]],"=13")+COUNTIF(TableauDeBord[[#This Row],[4ème Partie Equipe A]],"=13")</f>
        <v>0</v>
      </c>
      <c r="Q14" s="9" t="str">
        <f>IF(TableauDeBord[[#This Row],[Parties Gagnéés]]&gt;0,SUM(P14*2.5),"")</f>
        <v/>
      </c>
    </row>
    <row r="15" spans="1:17" x14ac:dyDescent="0.35">
      <c r="A15" s="10" t="str">
        <f>IF(TableauDeBord[[#This Row],[Parties Jouées]]&gt;=1,_xlfn.RANK.EQ(N15,$N$2:$N$33),"")</f>
        <v/>
      </c>
      <c r="B15" s="6">
        <v>14</v>
      </c>
      <c r="C15" s="7" t="str">
        <f>IF(ISBLANK( VLOOKUP(B15,Equipes!$A:$B,2)),"",VLOOKUP(B15,Equipes!$A:$B,2))</f>
        <v/>
      </c>
      <c r="D15" s="8">
        <f>VLOOKUP($B15,Rencontres!$K$2:$O$34,2)</f>
        <v>0</v>
      </c>
      <c r="E15" s="8">
        <f>IF(ISBLANK(Rencontres!C16),0,VLOOKUP(VLOOKUP($B15,Rencontres!$B$3:$C$34,2),Rencontres!$K$2:$O$34,2))</f>
        <v>0</v>
      </c>
      <c r="F15" s="8">
        <f>VLOOKUP($B15,Rencontres!$K$2:$O$34,3)</f>
        <v>0</v>
      </c>
      <c r="G15" s="8">
        <f>IF(ISBLANK(Rencontres!D16),0,VLOOKUP(VLOOKUP($B15,Rencontres!$B$3:$F$34,3),Rencontres!$K$2:$O$34,3))</f>
        <v>0</v>
      </c>
      <c r="H15" s="8">
        <f>VLOOKUP($B15,Rencontres!$K$2:$O$34,4)</f>
        <v>0</v>
      </c>
      <c r="I15" s="8">
        <f>IF(ISBLANK(Rencontres!E16),0,VLOOKUP(VLOOKUP($B15,Rencontres!$B$3:$F$34,4),Rencontres!$K$2:$O$34,4))</f>
        <v>0</v>
      </c>
      <c r="J15" s="8">
        <f>VLOOKUP($B15,Rencontres!$K$2:$O$34,5)</f>
        <v>0</v>
      </c>
      <c r="K15" s="8">
        <f>IF(ISBLANK(Rencontres!F16),0,VLOOKUP(VLOOKUP($B15,Rencontres!$B$3:$F$34,5),#REF!,5))</f>
        <v>0</v>
      </c>
      <c r="L15" s="8" t="str">
        <f>IF(TableauDeBord[[#This Row],[Parties Jouées]]&gt;=1,SUM(D15,F15,H15,J15),"")</f>
        <v/>
      </c>
      <c r="M15" s="8" t="str">
        <f>IF(TableauDeBord[[#This Row],[Parties Jouées]]&gt;=1,SUM(E15,G15,I15,K15),"")</f>
        <v/>
      </c>
      <c r="N15" s="10" t="str">
        <f>IF(TableauDeBord[[#This Row],[Parties Jouées]]&gt;=1,L15-TableauDeBord[[#This Row],[-]],"")</f>
        <v/>
      </c>
      <c r="O15" s="10">
        <f t="shared" si="0"/>
        <v>0</v>
      </c>
      <c r="P15" s="10">
        <f>COUNTIF(TableauDeBord[[#This Row],[1ere Partie Equipe A]],"=13")+COUNTIF(TableauDeBord[[#This Row],[2ème Partie Equipe A]],"=13")+COUNTIF(TableauDeBord[[#This Row],[3ème Partie Equipe A]],"=13")+COUNTIF(TableauDeBord[[#This Row],[4ème Partie Equipe A]],"=13")</f>
        <v>0</v>
      </c>
      <c r="Q15" s="9" t="str">
        <f>IF(TableauDeBord[[#This Row],[Parties Gagnéés]]&gt;0,SUM(P15*2.5),"")</f>
        <v/>
      </c>
    </row>
    <row r="16" spans="1:17" x14ac:dyDescent="0.35">
      <c r="A16" s="10" t="str">
        <f>IF(TableauDeBord[[#This Row],[Parties Jouées]]&gt;=1,_xlfn.RANK.EQ(N16,$N$2:$N$33),"")</f>
        <v/>
      </c>
      <c r="B16" s="6">
        <v>15</v>
      </c>
      <c r="C16" s="7" t="str">
        <f>IF(ISBLANK( VLOOKUP(B16,Equipes!$A:$B,2)),"",VLOOKUP(B16,Equipes!$A:$B,2))</f>
        <v/>
      </c>
      <c r="D16" s="8">
        <f>VLOOKUP($B16,Rencontres!$K$2:$O$34,2)</f>
        <v>0</v>
      </c>
      <c r="E16" s="8">
        <f>IF(ISBLANK(Rencontres!C17),0,VLOOKUP(VLOOKUP($B16,Rencontres!$B$3:$C$34,2),Rencontres!$K$2:$O$34,2))</f>
        <v>0</v>
      </c>
      <c r="F16" s="8">
        <f>VLOOKUP($B16,Rencontres!$K$2:$O$34,3)</f>
        <v>0</v>
      </c>
      <c r="G16" s="8">
        <f>IF(ISBLANK(Rencontres!D17),0,VLOOKUP(VLOOKUP($B16,Rencontres!$B$3:$F$34,3),Rencontres!$K$2:$O$34,3))</f>
        <v>0</v>
      </c>
      <c r="H16" s="8">
        <f>VLOOKUP($B16,Rencontres!$K$2:$O$34,4)</f>
        <v>0</v>
      </c>
      <c r="I16" s="8">
        <f>IF(ISBLANK(Rencontres!E17),0,VLOOKUP(VLOOKUP($B16,Rencontres!$B$3:$F$34,4),Rencontres!$K$2:$O$34,4))</f>
        <v>0</v>
      </c>
      <c r="J16" s="8">
        <f>VLOOKUP($B16,Rencontres!$K$2:$O$34,5)</f>
        <v>0</v>
      </c>
      <c r="K16" s="8">
        <f>IF(ISBLANK(Rencontres!F17),0,VLOOKUP(VLOOKUP($B16,Rencontres!$B$3:$F$34,5),#REF!,5))</f>
        <v>0</v>
      </c>
      <c r="L16" s="8" t="str">
        <f>IF(TableauDeBord[[#This Row],[Parties Jouées]]&gt;=1,SUM(D16,F16,H16,J16),"")</f>
        <v/>
      </c>
      <c r="M16" s="8" t="str">
        <f>IF(TableauDeBord[[#This Row],[Parties Jouées]]&gt;=1,SUM(E16,G16,I16,K16),"")</f>
        <v/>
      </c>
      <c r="N16" s="10" t="str">
        <f>IF(TableauDeBord[[#This Row],[Parties Jouées]]&gt;=1,L16-TableauDeBord[[#This Row],[-]],"")</f>
        <v/>
      </c>
      <c r="O16" s="10">
        <f t="shared" si="0"/>
        <v>0</v>
      </c>
      <c r="P16" s="10">
        <f>COUNTIF(TableauDeBord[[#This Row],[1ere Partie Equipe A]],"=13")+COUNTIF(TableauDeBord[[#This Row],[2ème Partie Equipe A]],"=13")+COUNTIF(TableauDeBord[[#This Row],[3ème Partie Equipe A]],"=13")+COUNTIF(TableauDeBord[[#This Row],[4ème Partie Equipe A]],"=13")</f>
        <v>0</v>
      </c>
      <c r="Q16" s="9" t="str">
        <f>IF(TableauDeBord[[#This Row],[Parties Gagnéés]]&gt;0,SUM(P16*2.5),"")</f>
        <v/>
      </c>
    </row>
    <row r="17" spans="1:17" x14ac:dyDescent="0.35">
      <c r="A17" s="10" t="str">
        <f>IF(TableauDeBord[[#This Row],[Parties Jouées]]&gt;=1,_xlfn.RANK.EQ(N17,$N$2:$N$33),"")</f>
        <v/>
      </c>
      <c r="B17" s="6">
        <v>16</v>
      </c>
      <c r="C17" s="7" t="str">
        <f>IF(ISBLANK( VLOOKUP(B17,Equipes!$A:$B,2)),"",VLOOKUP(B17,Equipes!$A:$B,2))</f>
        <v/>
      </c>
      <c r="D17" s="8">
        <f>VLOOKUP($B17,Rencontres!$K$2:$O$34,2)</f>
        <v>0</v>
      </c>
      <c r="E17" s="8">
        <f>IF(ISBLANK(Rencontres!C18),0,VLOOKUP(VLOOKUP($B17,Rencontres!$B$3:$C$34,2),Rencontres!$K$2:$O$34,2))</f>
        <v>0</v>
      </c>
      <c r="F17" s="8">
        <f>VLOOKUP($B17,Rencontres!$K$2:$O$34,3)</f>
        <v>0</v>
      </c>
      <c r="G17" s="8">
        <f>IF(ISBLANK(Rencontres!D18),0,VLOOKUP(VLOOKUP($B17,Rencontres!$B$3:$F$34,3),Rencontres!$K$2:$O$34,3))</f>
        <v>0</v>
      </c>
      <c r="H17" s="8">
        <f>VLOOKUP($B17,Rencontres!$K$2:$O$34,4)</f>
        <v>0</v>
      </c>
      <c r="I17" s="8">
        <f>IF(ISBLANK(Rencontres!E18),0,VLOOKUP(VLOOKUP($B17,Rencontres!$B$3:$F$34,4),Rencontres!$K$2:$O$34,4))</f>
        <v>0</v>
      </c>
      <c r="J17" s="8">
        <f>VLOOKUP($B17,Rencontres!$K$2:$O$34,5)</f>
        <v>0</v>
      </c>
      <c r="K17" s="8">
        <f>IF(ISBLANK(Rencontres!F18),0,VLOOKUP(VLOOKUP($B17,Rencontres!$B$3:$F$34,5),#REF!,5))</f>
        <v>0</v>
      </c>
      <c r="L17" s="8" t="str">
        <f>IF(TableauDeBord[[#This Row],[Parties Jouées]]&gt;=1,SUM(D17,F17,H17,J17),"")</f>
        <v/>
      </c>
      <c r="M17" s="8" t="str">
        <f>IF(TableauDeBord[[#This Row],[Parties Jouées]]&gt;=1,SUM(E17,G17,I17,K17),"")</f>
        <v/>
      </c>
      <c r="N17" s="10" t="str">
        <f>IF(TableauDeBord[[#This Row],[Parties Jouées]]&gt;=1,L17-TableauDeBord[[#This Row],[-]],"")</f>
        <v/>
      </c>
      <c r="O17" s="10">
        <f t="shared" si="0"/>
        <v>0</v>
      </c>
      <c r="P17" s="10">
        <f>COUNTIF(TableauDeBord[[#This Row],[1ere Partie Equipe A]],"=13")+COUNTIF(TableauDeBord[[#This Row],[2ème Partie Equipe A]],"=13")+COUNTIF(TableauDeBord[[#This Row],[3ème Partie Equipe A]],"=13")+COUNTIF(TableauDeBord[[#This Row],[4ème Partie Equipe A]],"=13")</f>
        <v>0</v>
      </c>
      <c r="Q17" s="9" t="str">
        <f>IF(TableauDeBord[[#This Row],[Parties Gagnéés]]&gt;0,SUM(P17*2.5),"")</f>
        <v/>
      </c>
    </row>
    <row r="18" spans="1:17" x14ac:dyDescent="0.35">
      <c r="A18" s="10" t="str">
        <f>IF(TableauDeBord[[#This Row],[Parties Jouées]]&gt;=1,_xlfn.RANK.EQ(N18,$N$2:$N$33),"")</f>
        <v/>
      </c>
      <c r="B18" s="6">
        <v>17</v>
      </c>
      <c r="C18" s="7" t="str">
        <f>IF(ISBLANK( VLOOKUP(B18,Equipes!$A:$B,2)),"",VLOOKUP(B18,Equipes!$A:$B,2))</f>
        <v/>
      </c>
      <c r="D18" s="8">
        <f>VLOOKUP($B18,Rencontres!$K$2:$O$34,2)</f>
        <v>0</v>
      </c>
      <c r="E18" s="8">
        <f>IF(ISBLANK(Rencontres!C19),0,VLOOKUP(VLOOKUP($B18,Rencontres!$B$3:$C$34,2),Rencontres!$K$2:$O$34,2))</f>
        <v>0</v>
      </c>
      <c r="F18" s="8">
        <f>VLOOKUP($B18,Rencontres!$K$2:$O$34,3)</f>
        <v>0</v>
      </c>
      <c r="G18" s="8">
        <f>IF(ISBLANK(Rencontres!D19),0,VLOOKUP(VLOOKUP($B18,Rencontres!$B$3:$F$34,3),Rencontres!$K$2:$O$34,3))</f>
        <v>0</v>
      </c>
      <c r="H18" s="8">
        <f>VLOOKUP($B18,Rencontres!$K$2:$O$34,4)</f>
        <v>0</v>
      </c>
      <c r="I18" s="8">
        <f>IF(ISBLANK(Rencontres!E19),0,VLOOKUP(VLOOKUP($B18,Rencontres!$B$3:$F$34,4),Rencontres!$K$2:$O$34,4))</f>
        <v>0</v>
      </c>
      <c r="J18" s="8">
        <f>VLOOKUP($B18,Rencontres!$K$2:$O$34,5)</f>
        <v>0</v>
      </c>
      <c r="K18" s="8">
        <f>IF(ISBLANK(Rencontres!F19),0,VLOOKUP(VLOOKUP($B18,Rencontres!$B$3:$F$34,5),#REF!,5))</f>
        <v>0</v>
      </c>
      <c r="L18" s="8" t="str">
        <f>IF(TableauDeBord[[#This Row],[Parties Jouées]]&gt;=1,SUM(D18,F18,H18,J18),"")</f>
        <v/>
      </c>
      <c r="M18" s="8" t="str">
        <f>IF(TableauDeBord[[#This Row],[Parties Jouées]]&gt;=1,SUM(E18,G18,I18,K18),"")</f>
        <v/>
      </c>
      <c r="N18" s="10" t="str">
        <f>IF(TableauDeBord[[#This Row],[Parties Jouées]]&gt;=1,L18-TableauDeBord[[#This Row],[-]],"")</f>
        <v/>
      </c>
      <c r="O18" s="10">
        <f t="shared" si="0"/>
        <v>0</v>
      </c>
      <c r="P18" s="10">
        <f>COUNTIF(TableauDeBord[[#This Row],[1ere Partie Equipe A]],"=13")+COUNTIF(TableauDeBord[[#This Row],[2ème Partie Equipe A]],"=13")+COUNTIF(TableauDeBord[[#This Row],[3ème Partie Equipe A]],"=13")+COUNTIF(TableauDeBord[[#This Row],[4ème Partie Equipe A]],"=13")</f>
        <v>0</v>
      </c>
      <c r="Q18" s="9" t="str">
        <f>IF(TableauDeBord[[#This Row],[Parties Gagnéés]]&gt;0,SUM(P18*2.5),"")</f>
        <v/>
      </c>
    </row>
    <row r="19" spans="1:17" x14ac:dyDescent="0.35">
      <c r="A19" s="10" t="str">
        <f>IF(TableauDeBord[[#This Row],[Parties Jouées]]&gt;=1,_xlfn.RANK.EQ(N19,$N$2:$N$33),"")</f>
        <v/>
      </c>
      <c r="B19" s="6">
        <v>18</v>
      </c>
      <c r="C19" s="7" t="str">
        <f>IF(ISBLANK( VLOOKUP(B19,Equipes!$A:$B,2)),"",VLOOKUP(B19,Equipes!$A:$B,2))</f>
        <v/>
      </c>
      <c r="D19" s="8">
        <f>VLOOKUP($B19,Rencontres!$K$2:$O$34,2)</f>
        <v>0</v>
      </c>
      <c r="E19" s="8">
        <f>IF(ISBLANK(Rencontres!C20),0,VLOOKUP(VLOOKUP($B19,Rencontres!$B$3:$C$34,2),Rencontres!$K$2:$O$34,2))</f>
        <v>0</v>
      </c>
      <c r="F19" s="8">
        <f>VLOOKUP($B19,Rencontres!$K$2:$O$34,3)</f>
        <v>0</v>
      </c>
      <c r="G19" s="8">
        <f>IF(ISBLANK(Rencontres!D20),0,VLOOKUP(VLOOKUP($B19,Rencontres!$B$3:$F$34,3),Rencontres!$K$2:$O$34,3))</f>
        <v>0</v>
      </c>
      <c r="H19" s="8">
        <f>VLOOKUP($B19,Rencontres!$K$2:$O$34,4)</f>
        <v>0</v>
      </c>
      <c r="I19" s="8">
        <f>IF(ISBLANK(Rencontres!E20),0,VLOOKUP(VLOOKUP($B19,Rencontres!$B$3:$F$34,4),Rencontres!$K$2:$O$34,4))</f>
        <v>0</v>
      </c>
      <c r="J19" s="8">
        <f>VLOOKUP($B19,Rencontres!$K$2:$O$34,5)</f>
        <v>0</v>
      </c>
      <c r="K19" s="8">
        <f>IF(ISBLANK(Rencontres!F20),0,VLOOKUP(VLOOKUP($B19,Rencontres!$B$3:$F$34,5),#REF!,5))</f>
        <v>0</v>
      </c>
      <c r="L19" s="8" t="str">
        <f>IF(TableauDeBord[[#This Row],[Parties Jouées]]&gt;=1,SUM(D19,F19,H19,J19),"")</f>
        <v/>
      </c>
      <c r="M19" s="8" t="str">
        <f>IF(TableauDeBord[[#This Row],[Parties Jouées]]&gt;=1,SUM(E19,G19,I19,K19),"")</f>
        <v/>
      </c>
      <c r="N19" s="10" t="str">
        <f>IF(TableauDeBord[[#This Row],[Parties Jouées]]&gt;=1,L19-TableauDeBord[[#This Row],[-]],"")</f>
        <v/>
      </c>
      <c r="O19" s="10">
        <f t="shared" si="0"/>
        <v>0</v>
      </c>
      <c r="P19" s="10">
        <f>COUNTIF(TableauDeBord[[#This Row],[1ere Partie Equipe A]],"=13")+COUNTIF(TableauDeBord[[#This Row],[2ème Partie Equipe A]],"=13")+COUNTIF(TableauDeBord[[#This Row],[3ème Partie Equipe A]],"=13")+COUNTIF(TableauDeBord[[#This Row],[4ème Partie Equipe A]],"=13")</f>
        <v>0</v>
      </c>
      <c r="Q19" s="9" t="str">
        <f>IF(TableauDeBord[[#This Row],[Parties Gagnéés]]&gt;0,SUM(P19*2.5),"")</f>
        <v/>
      </c>
    </row>
    <row r="20" spans="1:17" x14ac:dyDescent="0.35">
      <c r="A20" s="10" t="str">
        <f>IF(TableauDeBord[[#This Row],[Parties Jouées]]&gt;=1,_xlfn.RANK.EQ(N20,$N$2:$N$33),"")</f>
        <v/>
      </c>
      <c r="B20" s="6">
        <v>19</v>
      </c>
      <c r="C20" s="7" t="str">
        <f>IF(ISBLANK( VLOOKUP(B20,Equipes!$A:$B,2)),"",VLOOKUP(B20,Equipes!$A:$B,2))</f>
        <v/>
      </c>
      <c r="D20" s="8">
        <f>VLOOKUP($B20,Rencontres!$K$2:$O$34,2)</f>
        <v>0</v>
      </c>
      <c r="E20" s="8">
        <f>IF(ISBLANK(Rencontres!C21),0,VLOOKUP(VLOOKUP($B20,Rencontres!$B$3:$C$34,2),Rencontres!$K$2:$O$34,2))</f>
        <v>0</v>
      </c>
      <c r="F20" s="8">
        <f>VLOOKUP($B20,Rencontres!$K$2:$O$34,3)</f>
        <v>0</v>
      </c>
      <c r="G20" s="8">
        <f>IF(ISBLANK(Rencontres!D21),0,VLOOKUP(VLOOKUP($B20,Rencontres!$B$3:$F$34,3),Rencontres!$K$2:$O$34,3))</f>
        <v>0</v>
      </c>
      <c r="H20" s="8">
        <f>VLOOKUP($B20,Rencontres!$K$2:$O$34,4)</f>
        <v>0</v>
      </c>
      <c r="I20" s="8">
        <f>IF(ISBLANK(Rencontres!E21),0,VLOOKUP(VLOOKUP($B20,Rencontres!$B$3:$F$34,4),Rencontres!$K$2:$O$34,4))</f>
        <v>0</v>
      </c>
      <c r="J20" s="8">
        <f>VLOOKUP($B20,Rencontres!$K$2:$O$34,5)</f>
        <v>0</v>
      </c>
      <c r="K20" s="8">
        <f>IF(ISBLANK(Rencontres!F21),0,VLOOKUP(VLOOKUP($B20,Rencontres!$B$3:$F$34,5),#REF!,5))</f>
        <v>0</v>
      </c>
      <c r="L20" s="8" t="str">
        <f>IF(TableauDeBord[[#This Row],[Parties Jouées]]&gt;=1,SUM(D20,F20,H20,J20),"")</f>
        <v/>
      </c>
      <c r="M20" s="8" t="str">
        <f>IF(TableauDeBord[[#This Row],[Parties Jouées]]&gt;=1,SUM(E20,G20,I20,K20),"")</f>
        <v/>
      </c>
      <c r="N20" s="10" t="str">
        <f>IF(TableauDeBord[[#This Row],[Parties Jouées]]&gt;=1,L20-TableauDeBord[[#This Row],[-]],"")</f>
        <v/>
      </c>
      <c r="O20" s="10">
        <f t="shared" si="0"/>
        <v>0</v>
      </c>
      <c r="P20" s="10">
        <f>COUNTIF(TableauDeBord[[#This Row],[1ere Partie Equipe A]],"=13")+COUNTIF(TableauDeBord[[#This Row],[2ème Partie Equipe A]],"=13")+COUNTIF(TableauDeBord[[#This Row],[3ème Partie Equipe A]],"=13")+COUNTIF(TableauDeBord[[#This Row],[4ème Partie Equipe A]],"=13")</f>
        <v>0</v>
      </c>
      <c r="Q20" s="9" t="str">
        <f>IF(TableauDeBord[[#This Row],[Parties Gagnéés]]&gt;0,SUM(P20*2.5),"")</f>
        <v/>
      </c>
    </row>
    <row r="21" spans="1:17" x14ac:dyDescent="0.35">
      <c r="A21" s="10" t="str">
        <f>IF(TableauDeBord[[#This Row],[Parties Jouées]]&gt;=1,_xlfn.RANK.EQ(N21,$N$2:$N$33),"")</f>
        <v/>
      </c>
      <c r="B21" s="6">
        <v>20</v>
      </c>
      <c r="C21" s="7" t="str">
        <f>IF(ISBLANK( VLOOKUP(B21,Equipes!$A:$B,2)),"",VLOOKUP(B21,Equipes!$A:$B,2))</f>
        <v/>
      </c>
      <c r="D21" s="8">
        <f>VLOOKUP($B21,Rencontres!$K$2:$O$34,2)</f>
        <v>0</v>
      </c>
      <c r="E21" s="8">
        <f>IF(ISBLANK(Rencontres!C22),0,VLOOKUP(VLOOKUP($B21,Rencontres!$B$3:$C$34,2),Rencontres!$K$2:$O$34,2))</f>
        <v>0</v>
      </c>
      <c r="F21" s="8">
        <f>VLOOKUP($B21,Rencontres!$K$2:$O$34,3)</f>
        <v>0</v>
      </c>
      <c r="G21" s="8">
        <f>IF(ISBLANK(Rencontres!D22),0,VLOOKUP(VLOOKUP($B21,Rencontres!$B$3:$F$34,3),Rencontres!$K$2:$O$34,3))</f>
        <v>0</v>
      </c>
      <c r="H21" s="8">
        <f>VLOOKUP($B21,Rencontres!$K$2:$O$34,4)</f>
        <v>0</v>
      </c>
      <c r="I21" s="8">
        <f>IF(ISBLANK(Rencontres!E22),0,VLOOKUP(VLOOKUP($B21,Rencontres!$B$3:$F$34,4),Rencontres!$K$2:$O$34,4))</f>
        <v>0</v>
      </c>
      <c r="J21" s="8">
        <f>VLOOKUP($B21,Rencontres!$K$2:$O$34,5)</f>
        <v>0</v>
      </c>
      <c r="K21" s="8">
        <f>IF(ISBLANK(Rencontres!F22),0,VLOOKUP(VLOOKUP($B21,Rencontres!$B$3:$F$34,5),#REF!,5))</f>
        <v>0</v>
      </c>
      <c r="L21" s="8" t="str">
        <f>IF(TableauDeBord[[#This Row],[Parties Jouées]]&gt;=1,SUM(D21,F21,H21,J21),"")</f>
        <v/>
      </c>
      <c r="M21" s="8" t="str">
        <f>IF(TableauDeBord[[#This Row],[Parties Jouées]]&gt;=1,SUM(E21,G21,I21,K21),"")</f>
        <v/>
      </c>
      <c r="N21" s="10" t="str">
        <f>IF(TableauDeBord[[#This Row],[Parties Jouées]]&gt;=1,L21-TableauDeBord[[#This Row],[-]],"")</f>
        <v/>
      </c>
      <c r="O21" s="10">
        <f t="shared" si="0"/>
        <v>0</v>
      </c>
      <c r="P21" s="10">
        <f>COUNTIF(TableauDeBord[[#This Row],[1ere Partie Equipe A]],"=13")+COUNTIF(TableauDeBord[[#This Row],[2ème Partie Equipe A]],"=13")+COUNTIF(TableauDeBord[[#This Row],[3ème Partie Equipe A]],"=13")+COUNTIF(TableauDeBord[[#This Row],[4ème Partie Equipe A]],"=13")</f>
        <v>0</v>
      </c>
      <c r="Q21" s="9" t="str">
        <f>IF(TableauDeBord[[#This Row],[Parties Gagnéés]]&gt;0,SUM(P21*2.5),"")</f>
        <v/>
      </c>
    </row>
    <row r="22" spans="1:17" x14ac:dyDescent="0.35">
      <c r="A22" s="10" t="str">
        <f>IF(TableauDeBord[[#This Row],[Parties Jouées]]&gt;=1,_xlfn.RANK.EQ(N22,$N$2:$N$33),"")</f>
        <v/>
      </c>
      <c r="B22" s="6">
        <v>21</v>
      </c>
      <c r="C22" s="7" t="str">
        <f>IF(ISBLANK( VLOOKUP(B22,Equipes!$A:$B,2)),"",VLOOKUP(B22,Equipes!$A:$B,2))</f>
        <v/>
      </c>
      <c r="D22" s="8">
        <f>VLOOKUP($B22,Rencontres!$K$2:$O$34,2)</f>
        <v>0</v>
      </c>
      <c r="E22" s="8">
        <f>IF(ISBLANK(Rencontres!C23),0,VLOOKUP(VLOOKUP($B22,Rencontres!$B$3:$C$34,2),Rencontres!$K$2:$O$34,2))</f>
        <v>0</v>
      </c>
      <c r="F22" s="8">
        <f>VLOOKUP($B22,Rencontres!$K$2:$O$34,3)</f>
        <v>0</v>
      </c>
      <c r="G22" s="8">
        <f>IF(ISBLANK(Rencontres!D23),0,VLOOKUP(VLOOKUP($B22,Rencontres!$B$3:$F$34,3),Rencontres!$K$2:$O$34,3))</f>
        <v>0</v>
      </c>
      <c r="H22" s="8">
        <f>VLOOKUP($B22,Rencontres!$K$2:$O$34,4)</f>
        <v>0</v>
      </c>
      <c r="I22" s="8">
        <f>IF(ISBLANK(Rencontres!E23),0,VLOOKUP(VLOOKUP($B22,Rencontres!$B$3:$F$34,4),Rencontres!$K$2:$O$34,4))</f>
        <v>0</v>
      </c>
      <c r="J22" s="8">
        <f>VLOOKUP($B22,Rencontres!$K$2:$O$34,5)</f>
        <v>0</v>
      </c>
      <c r="K22" s="8">
        <f>IF(ISBLANK(Rencontres!F23),0,VLOOKUP(VLOOKUP($B22,Rencontres!$B$3:$F$34,5),#REF!,5))</f>
        <v>0</v>
      </c>
      <c r="L22" s="8" t="str">
        <f>IF(TableauDeBord[[#This Row],[Parties Jouées]]&gt;=1,SUM(D22,F22,H22,J22),"")</f>
        <v/>
      </c>
      <c r="M22" s="8" t="str">
        <f>IF(TableauDeBord[[#This Row],[Parties Jouées]]&gt;=1,SUM(E22,G22,I22,K22),"")</f>
        <v/>
      </c>
      <c r="N22" s="10" t="str">
        <f>IF(TableauDeBord[[#This Row],[Parties Jouées]]&gt;=1,L22-TableauDeBord[[#This Row],[-]],"")</f>
        <v/>
      </c>
      <c r="O22" s="10">
        <f t="shared" si="0"/>
        <v>0</v>
      </c>
      <c r="P22" s="10">
        <f>COUNTIF(TableauDeBord[[#This Row],[1ere Partie Equipe A]],"=13")+COUNTIF(TableauDeBord[[#This Row],[2ème Partie Equipe A]],"=13")+COUNTIF(TableauDeBord[[#This Row],[3ème Partie Equipe A]],"=13")+COUNTIF(TableauDeBord[[#This Row],[4ème Partie Equipe A]],"=13")</f>
        <v>0</v>
      </c>
      <c r="Q22" s="9" t="str">
        <f>IF(TableauDeBord[[#This Row],[Parties Gagnéés]]&gt;0,SUM(P22*2.5),"")</f>
        <v/>
      </c>
    </row>
    <row r="23" spans="1:17" x14ac:dyDescent="0.35">
      <c r="A23" s="10" t="str">
        <f>IF(TableauDeBord[[#This Row],[Parties Jouées]]&gt;=1,_xlfn.RANK.EQ(N23,$N$2:$N$33),"")</f>
        <v/>
      </c>
      <c r="B23" s="6">
        <v>22</v>
      </c>
      <c r="C23" s="7" t="str">
        <f>IF(ISBLANK( VLOOKUP(B23,Equipes!$A:$B,2)),"",VLOOKUP(B23,Equipes!$A:$B,2))</f>
        <v/>
      </c>
      <c r="D23" s="8">
        <f>VLOOKUP($B23,Rencontres!$K$2:$O$34,2)</f>
        <v>0</v>
      </c>
      <c r="E23" s="8">
        <f>IF(ISBLANK(Rencontres!C24),0,VLOOKUP(VLOOKUP($B23,Rencontres!$B$3:$C$34,2),Rencontres!$K$2:$O$34,2))</f>
        <v>0</v>
      </c>
      <c r="F23" s="8">
        <f>VLOOKUP($B23,Rencontres!$K$2:$O$34,3)</f>
        <v>0</v>
      </c>
      <c r="G23" s="8">
        <f>IF(ISBLANK(Rencontres!D24),0,VLOOKUP(VLOOKUP($B23,Rencontres!$B$3:$F$34,3),Rencontres!$K$2:$O$34,3))</f>
        <v>0</v>
      </c>
      <c r="H23" s="8">
        <f>VLOOKUP($B23,Rencontres!$K$2:$O$34,4)</f>
        <v>0</v>
      </c>
      <c r="I23" s="8">
        <f>IF(ISBLANK(Rencontres!E24),0,VLOOKUP(VLOOKUP($B23,Rencontres!$B$3:$F$34,4),Rencontres!$K$2:$O$34,4))</f>
        <v>0</v>
      </c>
      <c r="J23" s="8">
        <f>VLOOKUP($B23,Rencontres!$K$2:$O$34,5)</f>
        <v>0</v>
      </c>
      <c r="K23" s="8">
        <f>IF(ISBLANK(Rencontres!F24),0,VLOOKUP(VLOOKUP($B23,Rencontres!$B$3:$F$34,5),#REF!,5))</f>
        <v>0</v>
      </c>
      <c r="L23" s="8" t="str">
        <f>IF(TableauDeBord[[#This Row],[Parties Jouées]]&gt;=1,SUM(D23,F23,H23,J23),"")</f>
        <v/>
      </c>
      <c r="M23" s="8" t="str">
        <f>IF(TableauDeBord[[#This Row],[Parties Jouées]]&gt;=1,SUM(E23,G23,I23,K23),"")</f>
        <v/>
      </c>
      <c r="N23" s="10" t="str">
        <f>IF(TableauDeBord[[#This Row],[Parties Jouées]]&gt;=1,L23-TableauDeBord[[#This Row],[-]],"")</f>
        <v/>
      </c>
      <c r="O23" s="10">
        <f t="shared" si="0"/>
        <v>0</v>
      </c>
      <c r="P23" s="10">
        <f>COUNTIF(TableauDeBord[[#This Row],[1ere Partie Equipe A]],"=13")+COUNTIF(TableauDeBord[[#This Row],[2ème Partie Equipe A]],"=13")+COUNTIF(TableauDeBord[[#This Row],[3ème Partie Equipe A]],"=13")+COUNTIF(TableauDeBord[[#This Row],[4ème Partie Equipe A]],"=13")</f>
        <v>0</v>
      </c>
      <c r="Q23" s="9" t="str">
        <f>IF(TableauDeBord[[#This Row],[Parties Gagnéés]]&gt;0,SUM(P23*2.5),"")</f>
        <v/>
      </c>
    </row>
    <row r="24" spans="1:17" x14ac:dyDescent="0.35">
      <c r="A24" s="10" t="str">
        <f>IF(TableauDeBord[[#This Row],[Parties Jouées]]&gt;=1,_xlfn.RANK.EQ(N24,$N$2:$N$33),"")</f>
        <v/>
      </c>
      <c r="B24" s="6">
        <v>23</v>
      </c>
      <c r="C24" s="7" t="str">
        <f>IF(ISBLANK( VLOOKUP(B24,Equipes!$A:$B,2)),"",VLOOKUP(B24,Equipes!$A:$B,2))</f>
        <v/>
      </c>
      <c r="D24" s="8">
        <f>VLOOKUP($B24,Rencontres!$K$2:$O$34,2)</f>
        <v>0</v>
      </c>
      <c r="E24" s="8">
        <f>IF(ISBLANK(Rencontres!C25),0,VLOOKUP(VLOOKUP($B24,Rencontres!$B$3:$C$34,2),Rencontres!$K$2:$O$34,2))</f>
        <v>0</v>
      </c>
      <c r="F24" s="8">
        <f>VLOOKUP($B24,Rencontres!$K$2:$O$34,3)</f>
        <v>0</v>
      </c>
      <c r="G24" s="8">
        <f>IF(ISBLANK(Rencontres!D25),0,VLOOKUP(VLOOKUP($B24,Rencontres!$B$3:$F$34,3),Rencontres!$K$2:$O$34,3))</f>
        <v>0</v>
      </c>
      <c r="H24" s="8">
        <f>VLOOKUP($B24,Rencontres!$K$2:$O$34,4)</f>
        <v>0</v>
      </c>
      <c r="I24" s="8">
        <f>IF(ISBLANK(Rencontres!E25),0,VLOOKUP(VLOOKUP($B24,Rencontres!$B$3:$F$34,4),Rencontres!$K$2:$O$34,4))</f>
        <v>0</v>
      </c>
      <c r="J24" s="8">
        <f>VLOOKUP($B24,Rencontres!$K$2:$O$34,5)</f>
        <v>0</v>
      </c>
      <c r="K24" s="8">
        <f>IF(ISBLANK(Rencontres!F25),0,VLOOKUP(VLOOKUP($B24,Rencontres!$B$3:$F$34,5),#REF!,5))</f>
        <v>0</v>
      </c>
      <c r="L24" s="8" t="str">
        <f>IF(TableauDeBord[[#This Row],[Parties Jouées]]&gt;=1,SUM(D24,F24,H24,J24),"")</f>
        <v/>
      </c>
      <c r="M24" s="8" t="str">
        <f>IF(TableauDeBord[[#This Row],[Parties Jouées]]&gt;=1,SUM(E24,G24,I24,K24),"")</f>
        <v/>
      </c>
      <c r="N24" s="10" t="str">
        <f>IF(TableauDeBord[[#This Row],[Parties Jouées]]&gt;=1,L24-TableauDeBord[[#This Row],[-]],"")</f>
        <v/>
      </c>
      <c r="O24" s="10">
        <f t="shared" si="0"/>
        <v>0</v>
      </c>
      <c r="P24" s="10">
        <f>COUNTIF(TableauDeBord[[#This Row],[1ere Partie Equipe A]],"=13")+COUNTIF(TableauDeBord[[#This Row],[2ème Partie Equipe A]],"=13")+COUNTIF(TableauDeBord[[#This Row],[3ème Partie Equipe A]],"=13")+COUNTIF(TableauDeBord[[#This Row],[4ème Partie Equipe A]],"=13")</f>
        <v>0</v>
      </c>
      <c r="Q24" s="9" t="str">
        <f>IF(TableauDeBord[[#This Row],[Parties Gagnéés]]&gt;0,SUM(P24*2.5),"")</f>
        <v/>
      </c>
    </row>
    <row r="25" spans="1:17" x14ac:dyDescent="0.35">
      <c r="A25" s="10" t="str">
        <f>IF(TableauDeBord[[#This Row],[Parties Jouées]]&gt;=1,_xlfn.RANK.EQ(N25,$N$2:$N$33),"")</f>
        <v/>
      </c>
      <c r="B25" s="6">
        <v>24</v>
      </c>
      <c r="C25" s="7" t="str">
        <f>IF(ISBLANK( VLOOKUP(B25,Equipes!$A:$B,2)),"",VLOOKUP(B25,Equipes!$A:$B,2))</f>
        <v/>
      </c>
      <c r="D25" s="8">
        <f>VLOOKUP($B25,Rencontres!$K$2:$O$34,2)</f>
        <v>0</v>
      </c>
      <c r="E25" s="8">
        <f>IF(ISBLANK(Rencontres!C26),0,VLOOKUP(VLOOKUP($B25,Rencontres!$B$3:$C$34,2),Rencontres!$K$2:$O$34,2))</f>
        <v>0</v>
      </c>
      <c r="F25" s="8">
        <f>VLOOKUP($B25,Rencontres!$K$2:$O$34,3)</f>
        <v>0</v>
      </c>
      <c r="G25" s="8">
        <f>IF(ISBLANK(Rencontres!D26),0,VLOOKUP(VLOOKUP($B25,Rencontres!$B$3:$F$34,3),Rencontres!$K$2:$O$34,3))</f>
        <v>0</v>
      </c>
      <c r="H25" s="8">
        <f>VLOOKUP($B25,Rencontres!$K$2:$O$34,4)</f>
        <v>0</v>
      </c>
      <c r="I25" s="8">
        <f>IF(ISBLANK(Rencontres!E26),0,VLOOKUP(VLOOKUP($B25,Rencontres!$B$3:$F$34,4),Rencontres!$K$2:$O$34,4))</f>
        <v>0</v>
      </c>
      <c r="J25" s="8">
        <f>VLOOKUP($B25,Rencontres!$K$2:$O$34,5)</f>
        <v>0</v>
      </c>
      <c r="K25" s="8">
        <f>IF(ISBLANK(Rencontres!F26),0,VLOOKUP(VLOOKUP($B25,Rencontres!$B$3:$F$34,5),#REF!,5))</f>
        <v>0</v>
      </c>
      <c r="L25" s="8" t="str">
        <f>IF(TableauDeBord[[#This Row],[Parties Jouées]]&gt;=1,SUM(D25,F25,H25,J25),"")</f>
        <v/>
      </c>
      <c r="M25" s="8" t="str">
        <f>IF(TableauDeBord[[#This Row],[Parties Jouées]]&gt;=1,SUM(E25,G25,I25,K25),"")</f>
        <v/>
      </c>
      <c r="N25" s="10" t="str">
        <f>IF(TableauDeBord[[#This Row],[Parties Jouées]]&gt;=1,L25-TableauDeBord[[#This Row],[-]],"")</f>
        <v/>
      </c>
      <c r="O25" s="10">
        <f t="shared" si="0"/>
        <v>0</v>
      </c>
      <c r="P25" s="10">
        <f>COUNTIF(TableauDeBord[[#This Row],[1ere Partie Equipe A]],"=13")+COUNTIF(TableauDeBord[[#This Row],[2ème Partie Equipe A]],"=13")+COUNTIF(TableauDeBord[[#This Row],[3ème Partie Equipe A]],"=13")+COUNTIF(TableauDeBord[[#This Row],[4ème Partie Equipe A]],"=13")</f>
        <v>0</v>
      </c>
      <c r="Q25" s="9" t="str">
        <f>IF(TableauDeBord[[#This Row],[Parties Gagnéés]]&gt;0,SUM(P25*2.5),"")</f>
        <v/>
      </c>
    </row>
    <row r="26" spans="1:17" x14ac:dyDescent="0.35">
      <c r="A26" s="10" t="str">
        <f>IF(TableauDeBord[[#This Row],[Parties Jouées]]&gt;=1,_xlfn.RANK.EQ(N26,$N$2:$N$33),"")</f>
        <v/>
      </c>
      <c r="B26" s="6">
        <v>25</v>
      </c>
      <c r="C26" s="7" t="str">
        <f>IF(ISBLANK( VLOOKUP(B26,Equipes!$A:$B,2)),"",VLOOKUP(B26,Equipes!$A:$B,2))</f>
        <v/>
      </c>
      <c r="D26" s="8">
        <f>VLOOKUP($B26,Rencontres!$K$2:$O$34,2)</f>
        <v>0</v>
      </c>
      <c r="E26" s="8">
        <f>IF(ISBLANK(Rencontres!C27),0,VLOOKUP(VLOOKUP($B26,Rencontres!$B$3:$C$34,2),Rencontres!$K$2:$O$34,2))</f>
        <v>0</v>
      </c>
      <c r="F26" s="8">
        <f>VLOOKUP($B26,Rencontres!$K$2:$O$34,3)</f>
        <v>0</v>
      </c>
      <c r="G26" s="8">
        <f>IF(ISBLANK(Rencontres!D27),0,VLOOKUP(VLOOKUP($B26,Rencontres!$B$3:$F$34,3),Rencontres!$K$2:$O$34,3))</f>
        <v>0</v>
      </c>
      <c r="H26" s="8">
        <f>VLOOKUP($B26,Rencontres!$K$2:$O$34,4)</f>
        <v>0</v>
      </c>
      <c r="I26" s="8">
        <f>IF(ISBLANK(Rencontres!E27),0,VLOOKUP(VLOOKUP($B26,Rencontres!$B$3:$F$34,4),Rencontres!$K$2:$O$34,4))</f>
        <v>0</v>
      </c>
      <c r="J26" s="8">
        <f>VLOOKUP($B26,Rencontres!$K$2:$O$34,5)</f>
        <v>0</v>
      </c>
      <c r="K26" s="8">
        <f>IF(ISBLANK(Rencontres!F27),0,VLOOKUP(VLOOKUP($B26,Rencontres!$B$3:$F$34,5),#REF!,5))</f>
        <v>0</v>
      </c>
      <c r="L26" s="8" t="str">
        <f>IF(TableauDeBord[[#This Row],[Parties Jouées]]&gt;=1,SUM(D26,F26,H26,J26),"")</f>
        <v/>
      </c>
      <c r="M26" s="8" t="str">
        <f>IF(TableauDeBord[[#This Row],[Parties Jouées]]&gt;=1,SUM(E26,G26,I26,K26),"")</f>
        <v/>
      </c>
      <c r="N26" s="10" t="str">
        <f>IF(TableauDeBord[[#This Row],[Parties Jouées]]&gt;=1,L26-TableauDeBord[[#This Row],[-]],"")</f>
        <v/>
      </c>
      <c r="O26" s="10">
        <f t="shared" si="0"/>
        <v>0</v>
      </c>
      <c r="P26" s="10">
        <f>COUNTIF(TableauDeBord[[#This Row],[1ere Partie Equipe A]],"=13")+COUNTIF(TableauDeBord[[#This Row],[2ème Partie Equipe A]],"=13")+COUNTIF(TableauDeBord[[#This Row],[3ème Partie Equipe A]],"=13")+COUNTIF(TableauDeBord[[#This Row],[4ème Partie Equipe A]],"=13")</f>
        <v>0</v>
      </c>
      <c r="Q26" s="9" t="str">
        <f>IF(TableauDeBord[[#This Row],[Parties Gagnéés]]&gt;0,SUM(P26*2.5),"")</f>
        <v/>
      </c>
    </row>
    <row r="27" spans="1:17" x14ac:dyDescent="0.35">
      <c r="A27" s="10" t="str">
        <f>IF(TableauDeBord[[#This Row],[Parties Jouées]]&gt;=1,_xlfn.RANK.EQ(N27,$N$2:$N$33),"")</f>
        <v/>
      </c>
      <c r="B27" s="6">
        <v>26</v>
      </c>
      <c r="C27" s="7" t="str">
        <f>IF(ISBLANK( VLOOKUP(B27,Equipes!$A:$B,2)),"",VLOOKUP(B27,Equipes!$A:$B,2))</f>
        <v/>
      </c>
      <c r="D27" s="8">
        <f>VLOOKUP($B27,Rencontres!$K$2:$O$34,2)</f>
        <v>0</v>
      </c>
      <c r="E27" s="8">
        <f>IF(ISBLANK(Rencontres!C28),0,VLOOKUP(VLOOKUP($B27,Rencontres!$B$3:$C$34,2),Rencontres!$K$2:$O$34,2))</f>
        <v>0</v>
      </c>
      <c r="F27" s="8">
        <f>VLOOKUP($B27,Rencontres!$K$2:$O$34,3)</f>
        <v>0</v>
      </c>
      <c r="G27" s="8">
        <f>IF(ISBLANK(Rencontres!D28),0,VLOOKUP(VLOOKUP($B27,Rencontres!$B$3:$F$34,3),Rencontres!$K$2:$O$34,3))</f>
        <v>0</v>
      </c>
      <c r="H27" s="8">
        <f>VLOOKUP($B27,Rencontres!$K$2:$O$34,4)</f>
        <v>0</v>
      </c>
      <c r="I27" s="8">
        <f>IF(ISBLANK(Rencontres!E28),0,VLOOKUP(VLOOKUP($B27,Rencontres!$B$3:$F$34,4),Rencontres!$K$2:$O$34,4))</f>
        <v>0</v>
      </c>
      <c r="J27" s="8">
        <f>VLOOKUP($B27,Rencontres!$K$2:$O$34,5)</f>
        <v>0</v>
      </c>
      <c r="K27" s="8">
        <f>IF(ISBLANK(Rencontres!F28),0,VLOOKUP(VLOOKUP($B27,Rencontres!$B$3:$F$34,5),#REF!,5))</f>
        <v>0</v>
      </c>
      <c r="L27" s="8" t="str">
        <f>IF(TableauDeBord[[#This Row],[Parties Jouées]]&gt;=1,SUM(D27,F27,H27,J27),"")</f>
        <v/>
      </c>
      <c r="M27" s="8" t="str">
        <f>IF(TableauDeBord[[#This Row],[Parties Jouées]]&gt;=1,SUM(E27,G27,I27,K27),"")</f>
        <v/>
      </c>
      <c r="N27" s="10" t="str">
        <f>IF(TableauDeBord[[#This Row],[Parties Jouées]]&gt;=1,L27-TableauDeBord[[#This Row],[-]],"")</f>
        <v/>
      </c>
      <c r="O27" s="10">
        <f t="shared" si="0"/>
        <v>0</v>
      </c>
      <c r="P27" s="10">
        <f>COUNTIF(TableauDeBord[[#This Row],[1ere Partie Equipe A]],"=13")+COUNTIF(TableauDeBord[[#This Row],[2ème Partie Equipe A]],"=13")+COUNTIF(TableauDeBord[[#This Row],[3ème Partie Equipe A]],"=13")+COUNTIF(TableauDeBord[[#This Row],[4ème Partie Equipe A]],"=13")</f>
        <v>0</v>
      </c>
      <c r="Q27" s="9" t="str">
        <f>IF(TableauDeBord[[#This Row],[Parties Gagnéés]]&gt;0,SUM(P27*2.5),"")</f>
        <v/>
      </c>
    </row>
    <row r="28" spans="1:17" x14ac:dyDescent="0.35">
      <c r="A28" s="10" t="str">
        <f>IF(TableauDeBord[[#This Row],[Parties Jouées]]&gt;=1,_xlfn.RANK.EQ(N28,$N$2:$N$33),"")</f>
        <v/>
      </c>
      <c r="B28" s="6">
        <v>27</v>
      </c>
      <c r="C28" s="7" t="str">
        <f>IF(ISBLANK( VLOOKUP(B28,Equipes!$A:$B,2)),"",VLOOKUP(B28,Equipes!$A:$B,2))</f>
        <v/>
      </c>
      <c r="D28" s="8">
        <f>VLOOKUP($B28,Rencontres!$K$2:$O$34,2)</f>
        <v>0</v>
      </c>
      <c r="E28" s="8">
        <f>IF(ISBLANK(Rencontres!C29),0,VLOOKUP(VLOOKUP($B28,Rencontres!$B$3:$C$34,2),Rencontres!$K$2:$O$34,2))</f>
        <v>0</v>
      </c>
      <c r="F28" s="8">
        <f>VLOOKUP($B28,Rencontres!$K$2:$O$34,3)</f>
        <v>0</v>
      </c>
      <c r="G28" s="8">
        <f>IF(ISBLANK(Rencontres!D29),0,VLOOKUP(VLOOKUP($B28,Rencontres!$B$3:$F$34,3),Rencontres!$K$2:$O$34,3))</f>
        <v>0</v>
      </c>
      <c r="H28" s="8">
        <f>VLOOKUP($B28,Rencontres!$K$2:$O$34,4)</f>
        <v>0</v>
      </c>
      <c r="I28" s="8">
        <f>IF(ISBLANK(Rencontres!E29),0,VLOOKUP(VLOOKUP($B28,Rencontres!$B$3:$F$34,4),Rencontres!$K$2:$O$34,4))</f>
        <v>0</v>
      </c>
      <c r="J28" s="8">
        <f>VLOOKUP($B28,Rencontres!$K$2:$O$34,5)</f>
        <v>0</v>
      </c>
      <c r="K28" s="8">
        <f>IF(ISBLANK(Rencontres!F29),0,VLOOKUP(VLOOKUP($B28,Rencontres!$B$3:$F$34,5),#REF!,5))</f>
        <v>0</v>
      </c>
      <c r="L28" s="8" t="str">
        <f>IF(TableauDeBord[[#This Row],[Parties Jouées]]&gt;=1,SUM(D28,F28,H28,J28),"")</f>
        <v/>
      </c>
      <c r="M28" s="8" t="str">
        <f>IF(TableauDeBord[[#This Row],[Parties Jouées]]&gt;=1,SUM(E28,G28,I28,K28),"")</f>
        <v/>
      </c>
      <c r="N28" s="10" t="str">
        <f>IF(TableauDeBord[[#This Row],[Parties Jouées]]&gt;=1,L28-TableauDeBord[[#This Row],[-]],"")</f>
        <v/>
      </c>
      <c r="O28" s="10">
        <f t="shared" si="0"/>
        <v>0</v>
      </c>
      <c r="P28" s="10">
        <f>COUNTIF(TableauDeBord[[#This Row],[1ere Partie Equipe A]],"=13")+COUNTIF(TableauDeBord[[#This Row],[2ème Partie Equipe A]],"=13")+COUNTIF(TableauDeBord[[#This Row],[3ème Partie Equipe A]],"=13")+COUNTIF(TableauDeBord[[#This Row],[4ème Partie Equipe A]],"=13")</f>
        <v>0</v>
      </c>
      <c r="Q28" s="9" t="str">
        <f>IF(TableauDeBord[[#This Row],[Parties Gagnéés]]&gt;0,SUM(P28*2.5),"")</f>
        <v/>
      </c>
    </row>
    <row r="29" spans="1:17" x14ac:dyDescent="0.35">
      <c r="A29" s="10" t="str">
        <f>IF(TableauDeBord[[#This Row],[Parties Jouées]]&gt;=1,_xlfn.RANK.EQ(N29,$N$2:$N$33),"")</f>
        <v/>
      </c>
      <c r="B29" s="6">
        <v>28</v>
      </c>
      <c r="C29" s="7" t="str">
        <f>IF(ISBLANK( VLOOKUP(B29,Equipes!$A:$B,2)),"",VLOOKUP(B29,Equipes!$A:$B,2))</f>
        <v/>
      </c>
      <c r="D29" s="8">
        <f>VLOOKUP($B29,Rencontres!$K$2:$O$34,2)</f>
        <v>0</v>
      </c>
      <c r="E29" s="8">
        <f>IF(ISBLANK(Rencontres!C30),0,VLOOKUP(VLOOKUP($B29,Rencontres!$B$3:$C$34,2),Rencontres!$K$2:$O$34,2))</f>
        <v>0</v>
      </c>
      <c r="F29" s="8">
        <f>VLOOKUP($B29,Rencontres!$K$2:$O$34,3)</f>
        <v>0</v>
      </c>
      <c r="G29" s="8">
        <f>IF(ISBLANK(Rencontres!D30),0,VLOOKUP(VLOOKUP($B29,Rencontres!$B$3:$F$34,3),Rencontres!$K$2:$O$34,3))</f>
        <v>0</v>
      </c>
      <c r="H29" s="8">
        <f>VLOOKUP($B29,Rencontres!$K$2:$O$34,4)</f>
        <v>0</v>
      </c>
      <c r="I29" s="8">
        <f>IF(ISBLANK(Rencontres!E30),0,VLOOKUP(VLOOKUP($B29,Rencontres!$B$3:$F$34,4),Rencontres!$K$2:$O$34,4))</f>
        <v>0</v>
      </c>
      <c r="J29" s="8">
        <f>VLOOKUP($B29,Rencontres!$K$2:$O$34,5)</f>
        <v>0</v>
      </c>
      <c r="K29" s="8">
        <f>IF(ISBLANK(Rencontres!F30),0,VLOOKUP(VLOOKUP($B29,Rencontres!$B$3:$F$34,5),#REF!,5))</f>
        <v>0</v>
      </c>
      <c r="L29" s="8" t="str">
        <f>IF(TableauDeBord[[#This Row],[Parties Jouées]]&gt;=1,SUM(D29,F29,H29,J29),"")</f>
        <v/>
      </c>
      <c r="M29" s="8" t="str">
        <f>IF(TableauDeBord[[#This Row],[Parties Jouées]]&gt;=1,SUM(E29,G29,I29,K29),"")</f>
        <v/>
      </c>
      <c r="N29" s="10" t="str">
        <f>IF(TableauDeBord[[#This Row],[Parties Jouées]]&gt;=1,L29-TableauDeBord[[#This Row],[-]],"")</f>
        <v/>
      </c>
      <c r="O29" s="10">
        <f t="shared" si="0"/>
        <v>0</v>
      </c>
      <c r="P29" s="10">
        <f>COUNTIF(TableauDeBord[[#This Row],[1ere Partie Equipe A]],"=13")+COUNTIF(TableauDeBord[[#This Row],[2ème Partie Equipe A]],"=13")+COUNTIF(TableauDeBord[[#This Row],[3ème Partie Equipe A]],"=13")+COUNTIF(TableauDeBord[[#This Row],[4ème Partie Equipe A]],"=13")</f>
        <v>0</v>
      </c>
      <c r="Q29" s="9" t="str">
        <f>IF(TableauDeBord[[#This Row],[Parties Gagnéés]]&gt;0,SUM(P29*2.5),"")</f>
        <v/>
      </c>
    </row>
    <row r="30" spans="1:17" x14ac:dyDescent="0.35">
      <c r="A30" s="10" t="str">
        <f>IF(TableauDeBord[[#This Row],[Parties Jouées]]&gt;=1,_xlfn.RANK.EQ(N30,$N$2:$N$33),"")</f>
        <v/>
      </c>
      <c r="B30" s="6">
        <v>29</v>
      </c>
      <c r="C30" s="7" t="str">
        <f>IF(ISBLANK( VLOOKUP(B30,Equipes!$A:$B,2)),"",VLOOKUP(B30,Equipes!$A:$B,2))</f>
        <v/>
      </c>
      <c r="D30" s="8">
        <f>VLOOKUP($B30,Rencontres!$K$2:$O$34,2)</f>
        <v>0</v>
      </c>
      <c r="E30" s="8">
        <f>IF(ISBLANK(Rencontres!C31),0,VLOOKUP(VLOOKUP($B30,Rencontres!$B$3:$C$34,2),Rencontres!$K$2:$O$34,2))</f>
        <v>0</v>
      </c>
      <c r="F30" s="8">
        <f>VLOOKUP($B30,Rencontres!$K$2:$O$34,3)</f>
        <v>0</v>
      </c>
      <c r="G30" s="8">
        <f>IF(ISBLANK(Rencontres!D31),0,VLOOKUP(VLOOKUP($B30,Rencontres!$B$3:$F$34,3),Rencontres!$K$2:$O$34,3))</f>
        <v>0</v>
      </c>
      <c r="H30" s="8">
        <f>VLOOKUP($B30,Rencontres!$K$2:$O$34,4)</f>
        <v>0</v>
      </c>
      <c r="I30" s="8">
        <f>IF(ISBLANK(Rencontres!E31),0,VLOOKUP(VLOOKUP($B30,Rencontres!$B$3:$F$34,4),Rencontres!$K$2:$O$34,4))</f>
        <v>0</v>
      </c>
      <c r="J30" s="8">
        <f>VLOOKUP($B30,Rencontres!$K$2:$O$34,5)</f>
        <v>0</v>
      </c>
      <c r="K30" s="8">
        <f>IF(ISBLANK(Rencontres!F31),0,VLOOKUP(VLOOKUP($B30,Rencontres!$B$3:$F$34,5),#REF!,5))</f>
        <v>0</v>
      </c>
      <c r="L30" s="8" t="str">
        <f>IF(TableauDeBord[[#This Row],[Parties Jouées]]&gt;=1,SUM(D30,F30,H30,J30),"")</f>
        <v/>
      </c>
      <c r="M30" s="8" t="str">
        <f>IF(TableauDeBord[[#This Row],[Parties Jouées]]&gt;=1,SUM(E30,G30,I30,K30),"")</f>
        <v/>
      </c>
      <c r="N30" s="10" t="str">
        <f>IF(TableauDeBord[[#This Row],[Parties Jouées]]&gt;=1,L30-TableauDeBord[[#This Row],[-]],"")</f>
        <v/>
      </c>
      <c r="O30" s="10">
        <f t="shared" si="0"/>
        <v>0</v>
      </c>
      <c r="P30" s="10">
        <f>COUNTIF(TableauDeBord[[#This Row],[1ere Partie Equipe A]],"=13")+COUNTIF(TableauDeBord[[#This Row],[2ème Partie Equipe A]],"=13")+COUNTIF(TableauDeBord[[#This Row],[3ème Partie Equipe A]],"=13")+COUNTIF(TableauDeBord[[#This Row],[4ème Partie Equipe A]],"=13")</f>
        <v>0</v>
      </c>
      <c r="Q30" s="9" t="str">
        <f>IF(TableauDeBord[[#This Row],[Parties Gagnéés]]&gt;0,SUM(P30*2.5),"")</f>
        <v/>
      </c>
    </row>
    <row r="31" spans="1:17" x14ac:dyDescent="0.35">
      <c r="A31" s="10" t="str">
        <f>IF(TableauDeBord[[#This Row],[Parties Jouées]]&gt;=1,_xlfn.RANK.EQ(N31,$N$2:$N$33),"")</f>
        <v/>
      </c>
      <c r="B31" s="6">
        <v>30</v>
      </c>
      <c r="C31" s="7" t="str">
        <f>IF(ISBLANK( VLOOKUP(B31,Equipes!$A:$B,2)),"",VLOOKUP(B31,Equipes!$A:$B,2))</f>
        <v/>
      </c>
      <c r="D31" s="8">
        <f>VLOOKUP($B31,Rencontres!$K$2:$O$34,2)</f>
        <v>0</v>
      </c>
      <c r="E31" s="8">
        <f>IF(ISBLANK(Rencontres!C32),0,VLOOKUP(VLOOKUP($B31,Rencontres!$B$3:$C$34,2),Rencontres!$K$2:$O$34,2))</f>
        <v>0</v>
      </c>
      <c r="F31" s="8">
        <f>VLOOKUP($B31,Rencontres!$K$2:$O$34,3)</f>
        <v>0</v>
      </c>
      <c r="G31" s="8">
        <f>IF(ISBLANK(Rencontres!D32),0,VLOOKUP(VLOOKUP($B31,Rencontres!$B$3:$F$34,3),Rencontres!$K$2:$O$34,3))</f>
        <v>0</v>
      </c>
      <c r="H31" s="8">
        <f>VLOOKUP($B31,Rencontres!$K$2:$O$34,4)</f>
        <v>0</v>
      </c>
      <c r="I31" s="8">
        <f>IF(ISBLANK(Rencontres!E32),0,VLOOKUP(VLOOKUP($B31,Rencontres!$B$3:$F$34,4),Rencontres!$K$2:$O$34,4))</f>
        <v>0</v>
      </c>
      <c r="J31" s="8">
        <f>VLOOKUP($B31,Rencontres!$K$2:$O$34,5)</f>
        <v>0</v>
      </c>
      <c r="K31" s="8">
        <f>IF(ISBLANK(Rencontres!F32),0,VLOOKUP(VLOOKUP($B31,Rencontres!$B$3:$F$34,5),#REF!,5))</f>
        <v>0</v>
      </c>
      <c r="L31" s="8" t="str">
        <f>IF(TableauDeBord[[#This Row],[Parties Jouées]]&gt;=1,SUM(D31,F31,H31,J31),"")</f>
        <v/>
      </c>
      <c r="M31" s="8" t="str">
        <f>IF(TableauDeBord[[#This Row],[Parties Jouées]]&gt;=1,SUM(E31,G31,I31,K31),"")</f>
        <v/>
      </c>
      <c r="N31" s="10" t="str">
        <f>IF(TableauDeBord[[#This Row],[Parties Jouées]]&gt;=1,L31-TableauDeBord[[#This Row],[-]],"")</f>
        <v/>
      </c>
      <c r="O31" s="10">
        <f t="shared" si="0"/>
        <v>0</v>
      </c>
      <c r="P31" s="10">
        <f>COUNTIF(TableauDeBord[[#This Row],[1ere Partie Equipe A]],"=13")+COUNTIF(TableauDeBord[[#This Row],[2ème Partie Equipe A]],"=13")+COUNTIF(TableauDeBord[[#This Row],[3ème Partie Equipe A]],"=13")+COUNTIF(TableauDeBord[[#This Row],[4ème Partie Equipe A]],"=13")</f>
        <v>0</v>
      </c>
      <c r="Q31" s="9" t="str">
        <f>IF(TableauDeBord[[#This Row],[Parties Gagnéés]]&gt;0,SUM(P31*2.5),"")</f>
        <v/>
      </c>
    </row>
    <row r="32" spans="1:17" x14ac:dyDescent="0.35">
      <c r="A32" s="10" t="str">
        <f>IF(TableauDeBord[[#This Row],[Parties Jouées]]&gt;=1,_xlfn.RANK.EQ(N32,$N$2:$N$33),"")</f>
        <v/>
      </c>
      <c r="B32" s="6">
        <v>31</v>
      </c>
      <c r="C32" s="7" t="str">
        <f>IF(ISBLANK( VLOOKUP(B32,Equipes!$A:$B,2)),"",VLOOKUP(B32,Equipes!$A:$B,2))</f>
        <v/>
      </c>
      <c r="D32" s="8">
        <f>VLOOKUP($B32,Rencontres!$K$2:$O$34,2)</f>
        <v>0</v>
      </c>
      <c r="E32" s="8">
        <f>IF(ISBLANK(Rencontres!C33),0,VLOOKUP(VLOOKUP($B32,Rencontres!$B$3:$C$34,2),Rencontres!$K$2:$O$34,2))</f>
        <v>0</v>
      </c>
      <c r="F32" s="8">
        <f>VLOOKUP($B32,Rencontres!$K$2:$O$34,3)</f>
        <v>0</v>
      </c>
      <c r="G32" s="8">
        <f>IF(ISBLANK(Rencontres!D33),0,VLOOKUP(VLOOKUP($B32,Rencontres!$B$3:$F$34,3),Rencontres!$K$2:$O$34,3))</f>
        <v>0</v>
      </c>
      <c r="H32" s="8">
        <f>VLOOKUP($B32,Rencontres!$K$2:$O$34,4)</f>
        <v>0</v>
      </c>
      <c r="I32" s="8">
        <f>IF(ISBLANK(Rencontres!E33),0,VLOOKUP(VLOOKUP($B32,Rencontres!$B$3:$F$34,4),Rencontres!$K$2:$O$34,4))</f>
        <v>0</v>
      </c>
      <c r="J32" s="8">
        <f>VLOOKUP($B32,Rencontres!$K$2:$O$34,5)</f>
        <v>0</v>
      </c>
      <c r="K32" s="8">
        <f>IF(ISBLANK(Rencontres!F33),0,VLOOKUP(VLOOKUP($B32,Rencontres!$B$3:$F$34,5),#REF!,5))</f>
        <v>0</v>
      </c>
      <c r="L32" s="8" t="str">
        <f>IF(TableauDeBord[[#This Row],[Parties Jouées]]&gt;=1,SUM(D32,F32,H32,J32),"")</f>
        <v/>
      </c>
      <c r="M32" s="8" t="str">
        <f>IF(TableauDeBord[[#This Row],[Parties Jouées]]&gt;=1,SUM(E32,G32,I32,K32),"")</f>
        <v/>
      </c>
      <c r="N32" s="10" t="str">
        <f>IF(TableauDeBord[[#This Row],[Parties Jouées]]&gt;=1,L32-TableauDeBord[[#This Row],[-]],"")</f>
        <v/>
      </c>
      <c r="O32" s="10">
        <f t="shared" si="0"/>
        <v>0</v>
      </c>
      <c r="P32" s="10">
        <f>COUNTIF(TableauDeBord[[#This Row],[1ere Partie Equipe A]],"=13")+COUNTIF(TableauDeBord[[#This Row],[2ème Partie Equipe A]],"=13")+COUNTIF(TableauDeBord[[#This Row],[3ème Partie Equipe A]],"=13")+COUNTIF(TableauDeBord[[#This Row],[4ème Partie Equipe A]],"=13")</f>
        <v>0</v>
      </c>
      <c r="Q32" s="9" t="str">
        <f>IF(TableauDeBord[[#This Row],[Parties Gagnéés]]&gt;0,SUM(P32*2.5),"")</f>
        <v/>
      </c>
    </row>
    <row r="33" spans="1:17" x14ac:dyDescent="0.35">
      <c r="A33" s="10" t="str">
        <f>IF(TableauDeBord[[#This Row],[Parties Jouées]]&gt;=1,_xlfn.RANK.EQ(N33,$N$2:$N$33),"")</f>
        <v/>
      </c>
      <c r="B33" s="6">
        <v>32</v>
      </c>
      <c r="C33" s="7" t="str">
        <f>IF(ISBLANK( VLOOKUP(B33,Equipes!$A:$B,2)),"",VLOOKUP(B33,Equipes!$A:$B,2))</f>
        <v/>
      </c>
      <c r="D33" s="8">
        <f>VLOOKUP($B33,Rencontres!$K$2:$O$34,2)</f>
        <v>0</v>
      </c>
      <c r="E33" s="8">
        <f>IF(ISBLANK(Rencontres!C34),0,VLOOKUP(VLOOKUP($B33,Rencontres!$B$3:$C$34,2),Rencontres!$K$2:$O$34,2))</f>
        <v>0</v>
      </c>
      <c r="F33" s="8">
        <f>VLOOKUP($B33,Rencontres!$K$2:$O$34,3)</f>
        <v>0</v>
      </c>
      <c r="G33" s="8">
        <f>IF(ISBLANK(Rencontres!D34),0,VLOOKUP(VLOOKUP($B33,Rencontres!$B$3:$F$34,3),Rencontres!$K$2:$O$34,3))</f>
        <v>0</v>
      </c>
      <c r="H33" s="8">
        <f>VLOOKUP($B33,Rencontres!$K$2:$O$34,4)</f>
        <v>0</v>
      </c>
      <c r="I33" s="8">
        <f>IF(ISBLANK(Rencontres!E34),0,VLOOKUP(VLOOKUP($B33,Rencontres!$B$3:$F$34,4),Rencontres!$K$2:$O$34,4))</f>
        <v>0</v>
      </c>
      <c r="J33" s="8">
        <f>VLOOKUP($B33,Rencontres!$K$2:$O$34,5)</f>
        <v>0</v>
      </c>
      <c r="K33" s="8">
        <f>IF(ISBLANK(Rencontres!F34),0,VLOOKUP(VLOOKUP($B33,Rencontres!$B$3:$F$34,5),#REF!,5))</f>
        <v>0</v>
      </c>
      <c r="L33" s="8" t="str">
        <f>IF(TableauDeBord[[#This Row],[Parties Jouées]]&gt;=1,SUM(D33,F33,H33,J33),"")</f>
        <v/>
      </c>
      <c r="M33" s="8" t="str">
        <f>IF(TableauDeBord[[#This Row],[Parties Jouées]]&gt;=1,SUM(E33,G33,I33,K33),"")</f>
        <v/>
      </c>
      <c r="N33" s="10" t="str">
        <f>IF(TableauDeBord[[#This Row],[Parties Jouées]]&gt;=1,L33-TableauDeBord[[#This Row],[-]],"")</f>
        <v/>
      </c>
      <c r="O33" s="10">
        <f t="shared" si="0"/>
        <v>0</v>
      </c>
      <c r="P33" s="10">
        <f>COUNTIF(TableauDeBord[[#This Row],[1ere Partie Equipe A]],"=13")+COUNTIF(TableauDeBord[[#This Row],[2ème Partie Equipe A]],"=13")+COUNTIF(TableauDeBord[[#This Row],[3ème Partie Equipe A]],"=13")+COUNTIF(TableauDeBord[[#This Row],[4ème Partie Equipe A]],"=13")</f>
        <v>0</v>
      </c>
      <c r="Q33" s="9" t="str">
        <f>IF(TableauDeBord[[#This Row],[Parties Gagnéés]]&gt;0,SUM(P33*2.5),"")</f>
        <v/>
      </c>
    </row>
  </sheetData>
  <phoneticPr fontId="4" type="noConversion"/>
  <printOptions horizontalCentered="1" verticalCentered="1"/>
  <pageMargins left="0.19645669291338586" right="0.19645669291338586" top="0.74803149606299213" bottom="0.74803149606299213" header="0.3543307086614173" footer="0.3543307086614173"/>
  <pageSetup paperSize="0" fitToWidth="0" fitToHeight="0" orientation="landscape" horizontalDpi="0" verticalDpi="0" copies="0"/>
  <headerFooter alignWithMargins="0"/>
  <tableParts count="1">
    <tablePart r:id="rId1"/>
  </tablePart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Feuilles de calcul</vt:lpstr>
      </vt:variant>
      <vt:variant>
        <vt:i4>4</vt:i4>
      </vt:variant>
    </vt:vector>
  </HeadingPairs>
  <TitlesOfParts>
    <vt:vector size="4" baseType="lpstr">
      <vt:lpstr>Aide</vt:lpstr>
      <vt:lpstr>Equipes</vt:lpstr>
      <vt:lpstr>Rencontres</vt:lpstr>
      <vt:lpstr>Tableau de bord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Gaetan Giustiniani</dc:creator>
  <cp:lastModifiedBy>Gaetan Giustiniani</cp:lastModifiedBy>
  <dcterms:created xsi:type="dcterms:W3CDTF">2023-08-26T13:33:20Z</dcterms:created>
  <dcterms:modified xsi:type="dcterms:W3CDTF">2023-08-31T13:43:24Z</dcterms:modified>
</cp:coreProperties>
</file>